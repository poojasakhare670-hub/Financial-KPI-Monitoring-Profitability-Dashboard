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54df43b4c7728f5/Desktop/"/>
    </mc:Choice>
  </mc:AlternateContent>
  <xr:revisionPtr revIDLastSave="1" documentId="11_43CED45F1CBC111270CE0080E9BDFA054A984292" xr6:coauthVersionLast="47" xr6:coauthVersionMax="47" xr10:uidLastSave="{E18756E8-F4D4-411E-AD0E-288F81120327}"/>
  <bookViews>
    <workbookView xWindow="-108" yWindow="-108" windowWidth="23256" windowHeight="12456" tabRatio="500" xr2:uid="{00000000-000D-0000-FFFF-FFFF00000000}"/>
  </bookViews>
  <sheets>
    <sheet name="Financial_KPI_Data" sheetId="1" r:id="rId1"/>
    <sheet name="KPI_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2" l="1"/>
  <c r="B13" i="2"/>
  <c r="B10" i="2"/>
  <c r="B6" i="2"/>
  <c r="B5" i="2"/>
  <c r="B4" i="2"/>
  <c r="B14" i="2" s="1"/>
  <c r="Q121" i="1"/>
  <c r="R121" i="1" s="1"/>
  <c r="L121" i="1"/>
  <c r="M121" i="1" s="1"/>
  <c r="N121" i="1" s="1"/>
  <c r="Q120" i="1"/>
  <c r="R120" i="1" s="1"/>
  <c r="L120" i="1"/>
  <c r="M120" i="1" s="1"/>
  <c r="N120" i="1" s="1"/>
  <c r="Q119" i="1"/>
  <c r="R119" i="1" s="1"/>
  <c r="L119" i="1"/>
  <c r="M119" i="1" s="1"/>
  <c r="N119" i="1" s="1"/>
  <c r="Q118" i="1"/>
  <c r="R118" i="1" s="1"/>
  <c r="L118" i="1"/>
  <c r="M118" i="1" s="1"/>
  <c r="N118" i="1" s="1"/>
  <c r="Q117" i="1"/>
  <c r="R117" i="1" s="1"/>
  <c r="M117" i="1"/>
  <c r="N117" i="1" s="1"/>
  <c r="L117" i="1"/>
  <c r="Q116" i="1"/>
  <c r="R116" i="1" s="1"/>
  <c r="L116" i="1"/>
  <c r="M116" i="1" s="1"/>
  <c r="N116" i="1" s="1"/>
  <c r="Q115" i="1"/>
  <c r="R115" i="1" s="1"/>
  <c r="L115" i="1"/>
  <c r="M115" i="1" s="1"/>
  <c r="N115" i="1" s="1"/>
  <c r="R114" i="1"/>
  <c r="Q114" i="1"/>
  <c r="L114" i="1"/>
  <c r="M114" i="1" s="1"/>
  <c r="N114" i="1" s="1"/>
  <c r="Q113" i="1"/>
  <c r="R113" i="1" s="1"/>
  <c r="M113" i="1"/>
  <c r="N113" i="1" s="1"/>
  <c r="L113" i="1"/>
  <c r="Q112" i="1"/>
  <c r="R112" i="1" s="1"/>
  <c r="L112" i="1"/>
  <c r="M112" i="1" s="1"/>
  <c r="N112" i="1" s="1"/>
  <c r="Q111" i="1"/>
  <c r="R111" i="1" s="1"/>
  <c r="L111" i="1"/>
  <c r="M111" i="1" s="1"/>
  <c r="N111" i="1" s="1"/>
  <c r="Q110" i="1"/>
  <c r="R110" i="1" s="1"/>
  <c r="L110" i="1"/>
  <c r="M110" i="1" s="1"/>
  <c r="N110" i="1" s="1"/>
  <c r="Q109" i="1"/>
  <c r="R109" i="1" s="1"/>
  <c r="L109" i="1"/>
  <c r="M109" i="1" s="1"/>
  <c r="N109" i="1" s="1"/>
  <c r="Q108" i="1"/>
  <c r="R108" i="1" s="1"/>
  <c r="L108" i="1"/>
  <c r="M108" i="1" s="1"/>
  <c r="N108" i="1" s="1"/>
  <c r="Q107" i="1"/>
  <c r="R107" i="1" s="1"/>
  <c r="L107" i="1"/>
  <c r="M107" i="1" s="1"/>
  <c r="N107" i="1" s="1"/>
  <c r="Q106" i="1"/>
  <c r="R106" i="1" s="1"/>
  <c r="L106" i="1"/>
  <c r="M106" i="1" s="1"/>
  <c r="N106" i="1" s="1"/>
  <c r="Q105" i="1"/>
  <c r="R105" i="1" s="1"/>
  <c r="M105" i="1"/>
  <c r="N105" i="1" s="1"/>
  <c r="L105" i="1"/>
  <c r="Q104" i="1"/>
  <c r="R104" i="1" s="1"/>
  <c r="L104" i="1"/>
  <c r="M104" i="1" s="1"/>
  <c r="N104" i="1" s="1"/>
  <c r="Q103" i="1"/>
  <c r="R103" i="1" s="1"/>
  <c r="L103" i="1"/>
  <c r="M103" i="1" s="1"/>
  <c r="N103" i="1" s="1"/>
  <c r="R102" i="1"/>
  <c r="Q102" i="1"/>
  <c r="L102" i="1"/>
  <c r="M102" i="1" s="1"/>
  <c r="N102" i="1" s="1"/>
  <c r="R101" i="1"/>
  <c r="Q101" i="1"/>
  <c r="L101" i="1"/>
  <c r="M101" i="1" s="1"/>
  <c r="N101" i="1" s="1"/>
  <c r="Q100" i="1"/>
  <c r="R100" i="1" s="1"/>
  <c r="L100" i="1"/>
  <c r="M100" i="1" s="1"/>
  <c r="N100" i="1" s="1"/>
  <c r="Q99" i="1"/>
  <c r="R99" i="1" s="1"/>
  <c r="L99" i="1"/>
  <c r="M99" i="1" s="1"/>
  <c r="N99" i="1" s="1"/>
  <c r="Q98" i="1"/>
  <c r="R98" i="1" s="1"/>
  <c r="L98" i="1"/>
  <c r="M98" i="1" s="1"/>
  <c r="N98" i="1" s="1"/>
  <c r="Q97" i="1"/>
  <c r="R97" i="1" s="1"/>
  <c r="L97" i="1"/>
  <c r="M97" i="1" s="1"/>
  <c r="N97" i="1" s="1"/>
  <c r="Q96" i="1"/>
  <c r="R96" i="1" s="1"/>
  <c r="M96" i="1"/>
  <c r="N96" i="1" s="1"/>
  <c r="L96" i="1"/>
  <c r="Q95" i="1"/>
  <c r="R95" i="1" s="1"/>
  <c r="L95" i="1"/>
  <c r="M95" i="1" s="1"/>
  <c r="N95" i="1" s="1"/>
  <c r="Q94" i="1"/>
  <c r="R94" i="1" s="1"/>
  <c r="L94" i="1"/>
  <c r="M94" i="1" s="1"/>
  <c r="N94" i="1" s="1"/>
  <c r="R93" i="1"/>
  <c r="Q93" i="1"/>
  <c r="N93" i="1"/>
  <c r="M93" i="1"/>
  <c r="L93" i="1"/>
  <c r="Q92" i="1"/>
  <c r="R92" i="1" s="1"/>
  <c r="L92" i="1"/>
  <c r="M92" i="1" s="1"/>
  <c r="N92" i="1" s="1"/>
  <c r="Q91" i="1"/>
  <c r="R91" i="1" s="1"/>
  <c r="L91" i="1"/>
  <c r="M91" i="1" s="1"/>
  <c r="N91" i="1" s="1"/>
  <c r="R90" i="1"/>
  <c r="Q90" i="1"/>
  <c r="L90" i="1"/>
  <c r="M90" i="1" s="1"/>
  <c r="N90" i="1" s="1"/>
  <c r="Q89" i="1"/>
  <c r="R89" i="1" s="1"/>
  <c r="L89" i="1"/>
  <c r="M89" i="1" s="1"/>
  <c r="N89" i="1" s="1"/>
  <c r="Q88" i="1"/>
  <c r="R88" i="1" s="1"/>
  <c r="L88" i="1"/>
  <c r="M88" i="1" s="1"/>
  <c r="N88" i="1" s="1"/>
  <c r="Q87" i="1"/>
  <c r="R87" i="1" s="1"/>
  <c r="L87" i="1"/>
  <c r="M87" i="1" s="1"/>
  <c r="N87" i="1" s="1"/>
  <c r="Q86" i="1"/>
  <c r="R86" i="1" s="1"/>
  <c r="L86" i="1"/>
  <c r="M86" i="1" s="1"/>
  <c r="N86" i="1" s="1"/>
  <c r="Q85" i="1"/>
  <c r="R85" i="1" s="1"/>
  <c r="M85" i="1"/>
  <c r="N85" i="1" s="1"/>
  <c r="L85" i="1"/>
  <c r="R84" i="1"/>
  <c r="Q84" i="1"/>
  <c r="L84" i="1"/>
  <c r="M84" i="1" s="1"/>
  <c r="N84" i="1" s="1"/>
  <c r="Q83" i="1"/>
  <c r="R83" i="1" s="1"/>
  <c r="L83" i="1"/>
  <c r="M83" i="1" s="1"/>
  <c r="N83" i="1" s="1"/>
  <c r="Q82" i="1"/>
  <c r="R82" i="1" s="1"/>
  <c r="L82" i="1"/>
  <c r="M82" i="1" s="1"/>
  <c r="N82" i="1" s="1"/>
  <c r="Q81" i="1"/>
  <c r="R81" i="1" s="1"/>
  <c r="M81" i="1"/>
  <c r="N81" i="1" s="1"/>
  <c r="L81" i="1"/>
  <c r="Q80" i="1"/>
  <c r="R80" i="1" s="1"/>
  <c r="L80" i="1"/>
  <c r="M80" i="1" s="1"/>
  <c r="N80" i="1" s="1"/>
  <c r="Q79" i="1"/>
  <c r="R79" i="1" s="1"/>
  <c r="L79" i="1"/>
  <c r="M79" i="1" s="1"/>
  <c r="N79" i="1" s="1"/>
  <c r="R78" i="1"/>
  <c r="Q78" i="1"/>
  <c r="L78" i="1"/>
  <c r="M78" i="1" s="1"/>
  <c r="N78" i="1" s="1"/>
  <c r="Q77" i="1"/>
  <c r="R77" i="1" s="1"/>
  <c r="M77" i="1"/>
  <c r="N77" i="1" s="1"/>
  <c r="L77" i="1"/>
  <c r="Q76" i="1"/>
  <c r="R76" i="1" s="1"/>
  <c r="L76" i="1"/>
  <c r="M76" i="1" s="1"/>
  <c r="N76" i="1" s="1"/>
  <c r="Q75" i="1"/>
  <c r="R75" i="1" s="1"/>
  <c r="L75" i="1"/>
  <c r="M75" i="1" s="1"/>
  <c r="N75" i="1" s="1"/>
  <c r="Q74" i="1"/>
  <c r="R74" i="1" s="1"/>
  <c r="L74" i="1"/>
  <c r="M74" i="1" s="1"/>
  <c r="N74" i="1" s="1"/>
  <c r="Q73" i="1"/>
  <c r="R73" i="1" s="1"/>
  <c r="L73" i="1"/>
  <c r="M73" i="1" s="1"/>
  <c r="N73" i="1" s="1"/>
  <c r="Q72" i="1"/>
  <c r="R72" i="1" s="1"/>
  <c r="L72" i="1"/>
  <c r="M72" i="1" s="1"/>
  <c r="N72" i="1" s="1"/>
  <c r="Q71" i="1"/>
  <c r="R71" i="1" s="1"/>
  <c r="L71" i="1"/>
  <c r="M71" i="1" s="1"/>
  <c r="N71" i="1" s="1"/>
  <c r="Q70" i="1"/>
  <c r="R70" i="1" s="1"/>
  <c r="L70" i="1"/>
  <c r="M70" i="1" s="1"/>
  <c r="N70" i="1" s="1"/>
  <c r="Q69" i="1"/>
  <c r="R69" i="1" s="1"/>
  <c r="M69" i="1"/>
  <c r="N69" i="1" s="1"/>
  <c r="L69" i="1"/>
  <c r="Q68" i="1"/>
  <c r="R68" i="1" s="1"/>
  <c r="L68" i="1"/>
  <c r="M68" i="1" s="1"/>
  <c r="N68" i="1" s="1"/>
  <c r="Q67" i="1"/>
  <c r="R67" i="1" s="1"/>
  <c r="L67" i="1"/>
  <c r="M67" i="1" s="1"/>
  <c r="N67" i="1" s="1"/>
  <c r="R66" i="1"/>
  <c r="Q66" i="1"/>
  <c r="L66" i="1"/>
  <c r="M66" i="1" s="1"/>
  <c r="N66" i="1" s="1"/>
  <c r="Q65" i="1"/>
  <c r="R65" i="1" s="1"/>
  <c r="M65" i="1"/>
  <c r="N65" i="1" s="1"/>
  <c r="L65" i="1"/>
  <c r="Q64" i="1"/>
  <c r="R64" i="1" s="1"/>
  <c r="L64" i="1"/>
  <c r="M64" i="1" s="1"/>
  <c r="N64" i="1" s="1"/>
  <c r="Q63" i="1"/>
  <c r="R63" i="1" s="1"/>
  <c r="L63" i="1"/>
  <c r="M63" i="1" s="1"/>
  <c r="N63" i="1" s="1"/>
  <c r="Q62" i="1"/>
  <c r="R62" i="1" s="1"/>
  <c r="L62" i="1"/>
  <c r="M62" i="1" s="1"/>
  <c r="N62" i="1" s="1"/>
  <c r="Q61" i="1"/>
  <c r="R61" i="1" s="1"/>
  <c r="L61" i="1"/>
  <c r="M61" i="1" s="1"/>
  <c r="N61" i="1" s="1"/>
  <c r="Q60" i="1"/>
  <c r="R60" i="1" s="1"/>
  <c r="M60" i="1"/>
  <c r="N60" i="1" s="1"/>
  <c r="L60" i="1"/>
  <c r="Q59" i="1"/>
  <c r="R59" i="1" s="1"/>
  <c r="L59" i="1"/>
  <c r="M59" i="1" s="1"/>
  <c r="N59" i="1" s="1"/>
  <c r="Q58" i="1"/>
  <c r="R58" i="1" s="1"/>
  <c r="L58" i="1"/>
  <c r="M58" i="1" s="1"/>
  <c r="N58" i="1" s="1"/>
  <c r="Q57" i="1"/>
  <c r="R57" i="1" s="1"/>
  <c r="M57" i="1"/>
  <c r="N57" i="1" s="1"/>
  <c r="L57" i="1"/>
  <c r="Q56" i="1"/>
  <c r="R56" i="1" s="1"/>
  <c r="L56" i="1"/>
  <c r="M56" i="1" s="1"/>
  <c r="N56" i="1" s="1"/>
  <c r="Q55" i="1"/>
  <c r="R55" i="1" s="1"/>
  <c r="L55" i="1"/>
  <c r="M55" i="1" s="1"/>
  <c r="N55" i="1" s="1"/>
  <c r="R54" i="1"/>
  <c r="Q54" i="1"/>
  <c r="L54" i="1"/>
  <c r="M54" i="1" s="1"/>
  <c r="N54" i="1" s="1"/>
  <c r="R53" i="1"/>
  <c r="Q53" i="1"/>
  <c r="L53" i="1"/>
  <c r="M53" i="1" s="1"/>
  <c r="N53" i="1" s="1"/>
  <c r="Q52" i="1"/>
  <c r="R52" i="1" s="1"/>
  <c r="L52" i="1"/>
  <c r="M52" i="1" s="1"/>
  <c r="N52" i="1" s="1"/>
  <c r="Q51" i="1"/>
  <c r="R51" i="1" s="1"/>
  <c r="L51" i="1"/>
  <c r="M51" i="1" s="1"/>
  <c r="N51" i="1" s="1"/>
  <c r="Q50" i="1"/>
  <c r="R50" i="1" s="1"/>
  <c r="L50" i="1"/>
  <c r="M50" i="1" s="1"/>
  <c r="N50" i="1" s="1"/>
  <c r="Q49" i="1"/>
  <c r="R49" i="1" s="1"/>
  <c r="L49" i="1"/>
  <c r="M49" i="1" s="1"/>
  <c r="N49" i="1" s="1"/>
  <c r="Q48" i="1"/>
  <c r="R48" i="1" s="1"/>
  <c r="M48" i="1"/>
  <c r="N48" i="1" s="1"/>
  <c r="L48" i="1"/>
  <c r="Q47" i="1"/>
  <c r="R47" i="1" s="1"/>
  <c r="L47" i="1"/>
  <c r="M47" i="1" s="1"/>
  <c r="N47" i="1" s="1"/>
  <c r="Q46" i="1"/>
  <c r="R46" i="1" s="1"/>
  <c r="L46" i="1"/>
  <c r="M46" i="1" s="1"/>
  <c r="N46" i="1" s="1"/>
  <c r="Q45" i="1"/>
  <c r="R45" i="1" s="1"/>
  <c r="N45" i="1"/>
  <c r="M45" i="1"/>
  <c r="L45" i="1"/>
  <c r="Q44" i="1"/>
  <c r="R44" i="1" s="1"/>
  <c r="L44" i="1"/>
  <c r="M44" i="1" s="1"/>
  <c r="N44" i="1" s="1"/>
  <c r="Q43" i="1"/>
  <c r="R43" i="1" s="1"/>
  <c r="L43" i="1"/>
  <c r="M43" i="1" s="1"/>
  <c r="N43" i="1" s="1"/>
  <c r="R42" i="1"/>
  <c r="Q42" i="1"/>
  <c r="L42" i="1"/>
  <c r="M42" i="1" s="1"/>
  <c r="N42" i="1" s="1"/>
  <c r="Q41" i="1"/>
  <c r="R41" i="1" s="1"/>
  <c r="L41" i="1"/>
  <c r="M41" i="1" s="1"/>
  <c r="N41" i="1" s="1"/>
  <c r="Q40" i="1"/>
  <c r="R40" i="1" s="1"/>
  <c r="L40" i="1"/>
  <c r="M40" i="1" s="1"/>
  <c r="N40" i="1" s="1"/>
  <c r="Q39" i="1"/>
  <c r="R39" i="1" s="1"/>
  <c r="L39" i="1"/>
  <c r="M39" i="1" s="1"/>
  <c r="N39" i="1" s="1"/>
  <c r="Q38" i="1"/>
  <c r="R38" i="1" s="1"/>
  <c r="L38" i="1"/>
  <c r="M38" i="1" s="1"/>
  <c r="N38" i="1" s="1"/>
  <c r="Q37" i="1"/>
  <c r="R37" i="1" s="1"/>
  <c r="L37" i="1"/>
  <c r="M37" i="1" s="1"/>
  <c r="N37" i="1" s="1"/>
  <c r="R36" i="1"/>
  <c r="Q36" i="1"/>
  <c r="L36" i="1"/>
  <c r="M36" i="1" s="1"/>
  <c r="N36" i="1" s="1"/>
  <c r="Q35" i="1"/>
  <c r="R35" i="1" s="1"/>
  <c r="L35" i="1"/>
  <c r="M35" i="1" s="1"/>
  <c r="N35" i="1" s="1"/>
  <c r="R34" i="1"/>
  <c r="Q34" i="1"/>
  <c r="L34" i="1"/>
  <c r="M34" i="1" s="1"/>
  <c r="N34" i="1" s="1"/>
  <c r="Q33" i="1"/>
  <c r="R33" i="1" s="1"/>
  <c r="M33" i="1"/>
  <c r="N33" i="1" s="1"/>
  <c r="L33" i="1"/>
  <c r="Q32" i="1"/>
  <c r="R32" i="1" s="1"/>
  <c r="L32" i="1"/>
  <c r="M32" i="1" s="1"/>
  <c r="N32" i="1" s="1"/>
  <c r="Q31" i="1"/>
  <c r="R31" i="1" s="1"/>
  <c r="L31" i="1"/>
  <c r="M31" i="1" s="1"/>
  <c r="N31" i="1" s="1"/>
  <c r="R30" i="1"/>
  <c r="Q30" i="1"/>
  <c r="L30" i="1"/>
  <c r="M30" i="1" s="1"/>
  <c r="N30" i="1" s="1"/>
  <c r="Q29" i="1"/>
  <c r="R29" i="1" s="1"/>
  <c r="L29" i="1"/>
  <c r="M29" i="1" s="1"/>
  <c r="N29" i="1" s="1"/>
  <c r="Q28" i="1"/>
  <c r="R28" i="1" s="1"/>
  <c r="L28" i="1"/>
  <c r="M28" i="1" s="1"/>
  <c r="N28" i="1" s="1"/>
  <c r="Q27" i="1"/>
  <c r="R27" i="1" s="1"/>
  <c r="L27" i="1"/>
  <c r="M27" i="1" s="1"/>
  <c r="N27" i="1" s="1"/>
  <c r="Q26" i="1"/>
  <c r="R26" i="1" s="1"/>
  <c r="L26" i="1"/>
  <c r="M26" i="1" s="1"/>
  <c r="N26" i="1" s="1"/>
  <c r="Q25" i="1"/>
  <c r="R25" i="1" s="1"/>
  <c r="L25" i="1"/>
  <c r="M25" i="1" s="1"/>
  <c r="N25" i="1" s="1"/>
  <c r="Q24" i="1"/>
  <c r="R24" i="1" s="1"/>
  <c r="L24" i="1"/>
  <c r="M24" i="1" s="1"/>
  <c r="N24" i="1" s="1"/>
  <c r="Q23" i="1"/>
  <c r="R23" i="1" s="1"/>
  <c r="L23" i="1"/>
  <c r="M23" i="1" s="1"/>
  <c r="N23" i="1" s="1"/>
  <c r="R22" i="1"/>
  <c r="Q22" i="1"/>
  <c r="L22" i="1"/>
  <c r="M22" i="1" s="1"/>
  <c r="N22" i="1" s="1"/>
  <c r="Q21" i="1"/>
  <c r="R21" i="1" s="1"/>
  <c r="M21" i="1"/>
  <c r="N21" i="1" s="1"/>
  <c r="L21" i="1"/>
  <c r="Q20" i="1"/>
  <c r="R20" i="1" s="1"/>
  <c r="M20" i="1"/>
  <c r="N20" i="1" s="1"/>
  <c r="L20" i="1"/>
  <c r="Q19" i="1"/>
  <c r="R19" i="1" s="1"/>
  <c r="L19" i="1"/>
  <c r="M19" i="1" s="1"/>
  <c r="N19" i="1" s="1"/>
  <c r="R18" i="1"/>
  <c r="Q18" i="1"/>
  <c r="L18" i="1"/>
  <c r="M18" i="1" s="1"/>
  <c r="N18" i="1" s="1"/>
  <c r="Q17" i="1"/>
  <c r="R17" i="1" s="1"/>
  <c r="L17" i="1"/>
  <c r="M17" i="1" s="1"/>
  <c r="N17" i="1" s="1"/>
  <c r="Q16" i="1"/>
  <c r="R16" i="1" s="1"/>
  <c r="L16" i="1"/>
  <c r="M16" i="1" s="1"/>
  <c r="N16" i="1" s="1"/>
  <c r="Q15" i="1"/>
  <c r="R15" i="1" s="1"/>
  <c r="L15" i="1"/>
  <c r="M15" i="1" s="1"/>
  <c r="N15" i="1" s="1"/>
  <c r="Q14" i="1"/>
  <c r="R14" i="1" s="1"/>
  <c r="L14" i="1"/>
  <c r="M14" i="1" s="1"/>
  <c r="N14" i="1" s="1"/>
  <c r="Q13" i="1"/>
  <c r="R13" i="1" s="1"/>
  <c r="L13" i="1"/>
  <c r="M13" i="1" s="1"/>
  <c r="N13" i="1" s="1"/>
  <c r="Q12" i="1"/>
  <c r="R12" i="1" s="1"/>
  <c r="L12" i="1"/>
  <c r="M12" i="1" s="1"/>
  <c r="N12" i="1" s="1"/>
  <c r="Q11" i="1"/>
  <c r="R11" i="1" s="1"/>
  <c r="L11" i="1"/>
  <c r="M11" i="1" s="1"/>
  <c r="N11" i="1" s="1"/>
  <c r="Q10" i="1"/>
  <c r="R10" i="1" s="1"/>
  <c r="L10" i="1"/>
  <c r="M10" i="1" s="1"/>
  <c r="N10" i="1" s="1"/>
  <c r="Q9" i="1"/>
  <c r="R9" i="1" s="1"/>
  <c r="M9" i="1"/>
  <c r="N9" i="1" s="1"/>
  <c r="L9" i="1"/>
  <c r="Q8" i="1"/>
  <c r="R8" i="1" s="1"/>
  <c r="L8" i="1"/>
  <c r="M8" i="1" s="1"/>
  <c r="N8" i="1" s="1"/>
  <c r="Q7" i="1"/>
  <c r="R7" i="1" s="1"/>
  <c r="L7" i="1"/>
  <c r="M7" i="1" s="1"/>
  <c r="N7" i="1" s="1"/>
  <c r="R6" i="1"/>
  <c r="Q6" i="1"/>
  <c r="L6" i="1"/>
  <c r="M6" i="1" s="1"/>
  <c r="N6" i="1" s="1"/>
  <c r="Q5" i="1"/>
  <c r="R5" i="1" s="1"/>
  <c r="L5" i="1"/>
  <c r="M5" i="1" s="1"/>
  <c r="N5" i="1" s="1"/>
  <c r="R4" i="1"/>
  <c r="Q4" i="1"/>
  <c r="N4" i="1"/>
  <c r="L4" i="1"/>
  <c r="M4" i="1" s="1"/>
  <c r="Q3" i="1"/>
  <c r="R3" i="1" s="1"/>
  <c r="L3" i="1"/>
  <c r="M3" i="1" s="1"/>
  <c r="N3" i="1" s="1"/>
  <c r="Q2" i="1"/>
  <c r="L2" i="1"/>
  <c r="B7" i="2" l="1"/>
  <c r="M2" i="1"/>
  <c r="B11" i="2"/>
  <c r="R2" i="1"/>
  <c r="B12" i="2" s="1"/>
  <c r="B8" i="2" l="1"/>
  <c r="B9" i="2" s="1"/>
  <c r="N2" i="1"/>
</calcChain>
</file>

<file path=xl/sharedStrings.xml><?xml version="1.0" encoding="utf-8"?>
<sst xmlns="http://schemas.openxmlformats.org/spreadsheetml/2006/main" count="995" uniqueCount="100">
  <si>
    <t>Date</t>
  </si>
  <si>
    <t>Month</t>
  </si>
  <si>
    <t>Quarter</t>
  </si>
  <si>
    <t>Year</t>
  </si>
  <si>
    <t>Region</t>
  </si>
  <si>
    <t>Department</t>
  </si>
  <si>
    <t>Product Category</t>
  </si>
  <si>
    <t>Product Name</t>
  </si>
  <si>
    <t>Revenue</t>
  </si>
  <si>
    <t>Cost of Goods Sold</t>
  </si>
  <si>
    <t>Operating Expenses</t>
  </si>
  <si>
    <t>Gross Profit</t>
  </si>
  <si>
    <t>Net Profit</t>
  </si>
  <si>
    <t>Profit Margin %</t>
  </si>
  <si>
    <t>Sales Volume</t>
  </si>
  <si>
    <t>Budgeted Revenue</t>
  </si>
  <si>
    <t>Actual Revenue</t>
  </si>
  <si>
    <t>Budget Variance</t>
  </si>
  <si>
    <t>Customer Segment</t>
  </si>
  <si>
    <t>Sales Channel</t>
  </si>
  <si>
    <t>November</t>
  </si>
  <si>
    <t>Q4</t>
  </si>
  <si>
    <t>North</t>
  </si>
  <si>
    <t>Sales</t>
  </si>
  <si>
    <t>Apparel</t>
  </si>
  <si>
    <t>Women's Denim Jacket</t>
  </si>
  <si>
    <t>Online Individual</t>
  </si>
  <si>
    <t>Direct Sales</t>
  </si>
  <si>
    <t>January</t>
  </si>
  <si>
    <t>Q1</t>
  </si>
  <si>
    <t>Furniture</t>
  </si>
  <si>
    <t>Wooden Study Desk</t>
  </si>
  <si>
    <t>Government</t>
  </si>
  <si>
    <t>Retail Store</t>
  </si>
  <si>
    <t>August</t>
  </si>
  <si>
    <t>Q3</t>
  </si>
  <si>
    <t>Central</t>
  </si>
  <si>
    <t>Operations</t>
  </si>
  <si>
    <t>Electronics</t>
  </si>
  <si>
    <t>Wireless Earbuds</t>
  </si>
  <si>
    <t>Retail</t>
  </si>
  <si>
    <t>Online</t>
  </si>
  <si>
    <t>July</t>
  </si>
  <si>
    <t>Casual T-Shirt</t>
  </si>
  <si>
    <t>October</t>
  </si>
  <si>
    <t>East</t>
  </si>
  <si>
    <t>IT</t>
  </si>
  <si>
    <t>February</t>
  </si>
  <si>
    <t>West</t>
  </si>
  <si>
    <t>Groceries</t>
  </si>
  <si>
    <t>Green Tea Pack</t>
  </si>
  <si>
    <t>September</t>
  </si>
  <si>
    <t>South</t>
  </si>
  <si>
    <t>Marketing</t>
  </si>
  <si>
    <t>Almonds 500g</t>
  </si>
  <si>
    <t>Finance</t>
  </si>
  <si>
    <t>Men's Formal Shirt</t>
  </si>
  <si>
    <t>Home Appliances</t>
  </si>
  <si>
    <t>Vacuum Cleaner</t>
  </si>
  <si>
    <t>Whole Wheat Flour 5kg</t>
  </si>
  <si>
    <t>Distributor</t>
  </si>
  <si>
    <t>Winter Jacket</t>
  </si>
  <si>
    <t>Water Purifier</t>
  </si>
  <si>
    <t>Smart LED TV</t>
  </si>
  <si>
    <t>Corporate</t>
  </si>
  <si>
    <t>Washing Machine 7kg</t>
  </si>
  <si>
    <t>April</t>
  </si>
  <si>
    <t>Q2</t>
  </si>
  <si>
    <t>June</t>
  </si>
  <si>
    <t>Smartwatch X2</t>
  </si>
  <si>
    <t>Microwave Oven</t>
  </si>
  <si>
    <t>March</t>
  </si>
  <si>
    <t>Office Chair Deluxe</t>
  </si>
  <si>
    <t>SME</t>
  </si>
  <si>
    <t>May</t>
  </si>
  <si>
    <t>Air Purifier</t>
  </si>
  <si>
    <t>Recliner Sofa</t>
  </si>
  <si>
    <t>Organic Rice 5kg</t>
  </si>
  <si>
    <t>Running Shoes</t>
  </si>
  <si>
    <t>Bed Frame Queen</t>
  </si>
  <si>
    <t>Laptop Pro 14</t>
  </si>
  <si>
    <t>December</t>
  </si>
  <si>
    <t>Cold Pressed Oil 1L</t>
  </si>
  <si>
    <t>Bookshelf Unit</t>
  </si>
  <si>
    <t>Bluetooth Speaker</t>
  </si>
  <si>
    <t>Financial KPI Monitoring &amp; Profitability Dashboard — Summary KPIs</t>
  </si>
  <si>
    <t>KPI</t>
  </si>
  <si>
    <t>Value</t>
  </si>
  <si>
    <t>Total Revenue</t>
  </si>
  <si>
    <t>Total Cost of Goods Sold</t>
  </si>
  <si>
    <t>Total Operating Expenses</t>
  </si>
  <si>
    <t>Total Gross Profit</t>
  </si>
  <si>
    <t>Total Net Profit</t>
  </si>
  <si>
    <t>Overall Profit Margin %</t>
  </si>
  <si>
    <t>Total Budgeted Revenue</t>
  </si>
  <si>
    <t>Total Actual Revenue</t>
  </si>
  <si>
    <t>Total Budget Variance</t>
  </si>
  <si>
    <t>Total Sales Volume</t>
  </si>
  <si>
    <t>Average Revenue per Transaction</t>
  </si>
  <si>
    <t>Number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</si>
</sst>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\$#,##0.00"/>
    <numFmt numFmtId="166" formatCode="0.0%"/>
    <numFmt numFmtId="167" formatCode="\$#,##0.00;&quot;($&quot;#,##0.00\)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4" fillId="0" borderId="0" xfId="0" applyFont="1"/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3" fontId="2" fillId="0" borderId="0" xfId="0" applyNumberFormat="1" applyFont="1"/>
    <xf numFmtId="14" fontId="1" fillId="2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KPIData" displayName="FinancialKPIData" ref="A1:T121" totalsRowShown="0">
  <autoFilter ref="A1:T121" xr:uid="{00000000-0009-0000-0100-000001000000}"/>
  <tableColumns count="20">
    <tableColumn id="1" xr3:uid="{00000000-0010-0000-0000-000001000000}" name="Date" dataDxfId="0"/>
    <tableColumn id="2" xr3:uid="{00000000-0010-0000-0000-000002000000}" name="Month"/>
    <tableColumn id="3" xr3:uid="{00000000-0010-0000-0000-000003000000}" name="Quarter"/>
    <tableColumn id="4" xr3:uid="{00000000-0010-0000-0000-000004000000}" name="Year"/>
    <tableColumn id="5" xr3:uid="{00000000-0010-0000-0000-000005000000}" name="Region"/>
    <tableColumn id="6" xr3:uid="{00000000-0010-0000-0000-000006000000}" name="Department"/>
    <tableColumn id="7" xr3:uid="{00000000-0010-0000-0000-000007000000}" name="Product Category"/>
    <tableColumn id="8" xr3:uid="{00000000-0010-0000-0000-000008000000}" name="Product Name"/>
    <tableColumn id="9" xr3:uid="{00000000-0010-0000-0000-000009000000}" name="Revenue"/>
    <tableColumn id="10" xr3:uid="{00000000-0010-0000-0000-00000A000000}" name="Cost of Goods Sold"/>
    <tableColumn id="11" xr3:uid="{00000000-0010-0000-0000-00000B000000}" name="Operating Expenses"/>
    <tableColumn id="12" xr3:uid="{00000000-0010-0000-0000-00000C000000}" name="Gross Profit"/>
    <tableColumn id="13" xr3:uid="{00000000-0010-0000-0000-00000D000000}" name="Net Profit"/>
    <tableColumn id="14" xr3:uid="{00000000-0010-0000-0000-00000E000000}" name="Profit Margin %"/>
    <tableColumn id="15" xr3:uid="{00000000-0010-0000-0000-00000F000000}" name="Sales Volume"/>
    <tableColumn id="16" xr3:uid="{00000000-0010-0000-0000-000010000000}" name="Budgeted Revenue"/>
    <tableColumn id="17" xr3:uid="{00000000-0010-0000-0000-000011000000}" name="Actual Revenue"/>
    <tableColumn id="18" xr3:uid="{00000000-0010-0000-0000-000012000000}" name="Budget Variance"/>
    <tableColumn id="19" xr3:uid="{00000000-0010-0000-0000-000013000000}" name="Customer Segment"/>
    <tableColumn id="20" xr3:uid="{00000000-0010-0000-0000-000014000000}" name="Sales Chann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zoomScaleNormal="100" workbookViewId="0">
      <pane ySplit="1" topLeftCell="A2" activePane="bottomLeft" state="frozen"/>
      <selection pane="bottomLeft" sqref="A1:A1048576"/>
    </sheetView>
  </sheetViews>
  <sheetFormatPr defaultColWidth="8.6640625" defaultRowHeight="14.4" x14ac:dyDescent="0.3"/>
  <cols>
    <col min="1" max="1" width="12" style="15" customWidth="1"/>
    <col min="2" max="2" width="11" customWidth="1"/>
    <col min="3" max="3" width="9" customWidth="1"/>
    <col min="4" max="4" width="7" customWidth="1"/>
    <col min="5" max="5" width="10" customWidth="1"/>
    <col min="6" max="6" width="12" customWidth="1"/>
    <col min="7" max="7" width="16" customWidth="1"/>
    <col min="8" max="8" width="20" customWidth="1"/>
    <col min="9" max="9" width="12" customWidth="1"/>
    <col min="10" max="11" width="14" customWidth="1"/>
    <col min="12" max="13" width="12" customWidth="1"/>
    <col min="14" max="14" width="13" customWidth="1"/>
    <col min="15" max="15" width="12" customWidth="1"/>
    <col min="16" max="16" width="15" customWidth="1"/>
    <col min="17" max="18" width="14" customWidth="1"/>
    <col min="19" max="19" width="17" customWidth="1"/>
    <col min="20" max="20" width="14" customWidth="1"/>
  </cols>
  <sheetData>
    <row r="1" spans="1:20" x14ac:dyDescent="0.3">
      <c r="A1" s="1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4">
        <v>45619</v>
      </c>
      <c r="B2" s="3" t="s">
        <v>20</v>
      </c>
      <c r="C2" s="4" t="s">
        <v>21</v>
      </c>
      <c r="D2" s="4">
        <v>2024</v>
      </c>
      <c r="E2" s="3" t="s">
        <v>22</v>
      </c>
      <c r="F2" s="3" t="s">
        <v>23</v>
      </c>
      <c r="G2" s="3" t="s">
        <v>24</v>
      </c>
      <c r="H2" s="3" t="s">
        <v>25</v>
      </c>
      <c r="I2" s="5">
        <v>10143.799999999999</v>
      </c>
      <c r="J2" s="5">
        <v>3758.27</v>
      </c>
      <c r="K2" s="5">
        <v>2141.36</v>
      </c>
      <c r="L2" s="5">
        <f t="shared" ref="L2:L33" si="0">I2-J2</f>
        <v>6385.5299999999988</v>
      </c>
      <c r="M2" s="5">
        <f t="shared" ref="M2:M33" si="1">L2-K2</f>
        <v>4244.1699999999983</v>
      </c>
      <c r="N2" s="6">
        <f t="shared" ref="N2:N33" si="2">IFERROR(M2/I2,0)</f>
        <v>0.41840040221613189</v>
      </c>
      <c r="O2" s="4">
        <v>134</v>
      </c>
      <c r="P2" s="5">
        <v>10281.86</v>
      </c>
      <c r="Q2" s="5">
        <f t="shared" ref="Q2:Q33" si="3">I2</f>
        <v>10143.799999999999</v>
      </c>
      <c r="R2" s="7">
        <f t="shared" ref="R2:R33" si="4">Q2-P2</f>
        <v>-138.06000000000131</v>
      </c>
      <c r="S2" s="3" t="s">
        <v>26</v>
      </c>
      <c r="T2" s="3" t="s">
        <v>27</v>
      </c>
    </row>
    <row r="3" spans="1:20" x14ac:dyDescent="0.3">
      <c r="A3" s="14">
        <v>45308</v>
      </c>
      <c r="B3" s="3" t="s">
        <v>28</v>
      </c>
      <c r="C3" s="4" t="s">
        <v>29</v>
      </c>
      <c r="D3" s="4">
        <v>2024</v>
      </c>
      <c r="E3" s="3" t="s">
        <v>22</v>
      </c>
      <c r="F3" s="3" t="s">
        <v>23</v>
      </c>
      <c r="G3" s="3" t="s">
        <v>30</v>
      </c>
      <c r="H3" s="3" t="s">
        <v>31</v>
      </c>
      <c r="I3" s="5">
        <v>76972.639999999999</v>
      </c>
      <c r="J3" s="5">
        <v>35580.53</v>
      </c>
      <c r="K3" s="5">
        <v>15964.35</v>
      </c>
      <c r="L3" s="5">
        <f t="shared" si="0"/>
        <v>41392.11</v>
      </c>
      <c r="M3" s="5">
        <f t="shared" si="1"/>
        <v>25427.760000000002</v>
      </c>
      <c r="N3" s="6">
        <f t="shared" si="2"/>
        <v>0.33034803015720915</v>
      </c>
      <c r="O3" s="4">
        <v>278</v>
      </c>
      <c r="P3" s="5">
        <v>81621.59</v>
      </c>
      <c r="Q3" s="5">
        <f t="shared" si="3"/>
        <v>76972.639999999999</v>
      </c>
      <c r="R3" s="7">
        <f t="shared" si="4"/>
        <v>-4648.9499999999971</v>
      </c>
      <c r="S3" s="3" t="s">
        <v>32</v>
      </c>
      <c r="T3" s="3" t="s">
        <v>33</v>
      </c>
    </row>
    <row r="4" spans="1:20" x14ac:dyDescent="0.3">
      <c r="A4" s="14">
        <v>45521</v>
      </c>
      <c r="B4" s="3" t="s">
        <v>34</v>
      </c>
      <c r="C4" s="4" t="s">
        <v>35</v>
      </c>
      <c r="D4" s="4">
        <v>2024</v>
      </c>
      <c r="E4" s="3" t="s">
        <v>36</v>
      </c>
      <c r="F4" s="3" t="s">
        <v>37</v>
      </c>
      <c r="G4" s="3" t="s">
        <v>38</v>
      </c>
      <c r="H4" s="3" t="s">
        <v>39</v>
      </c>
      <c r="I4" s="5">
        <v>74962.679999999993</v>
      </c>
      <c r="J4" s="5">
        <v>30402.93</v>
      </c>
      <c r="K4" s="5">
        <v>9917.34</v>
      </c>
      <c r="L4" s="5">
        <f t="shared" si="0"/>
        <v>44559.749999999993</v>
      </c>
      <c r="M4" s="5">
        <f t="shared" si="1"/>
        <v>34642.409999999989</v>
      </c>
      <c r="N4" s="6">
        <f t="shared" si="2"/>
        <v>0.46212875526862157</v>
      </c>
      <c r="O4" s="4">
        <v>377</v>
      </c>
      <c r="P4" s="5">
        <v>80888.350000000006</v>
      </c>
      <c r="Q4" s="5">
        <f t="shared" si="3"/>
        <v>74962.679999999993</v>
      </c>
      <c r="R4" s="7">
        <f t="shared" si="4"/>
        <v>-5925.6700000000128</v>
      </c>
      <c r="S4" s="3" t="s">
        <v>40</v>
      </c>
      <c r="T4" s="3" t="s">
        <v>41</v>
      </c>
    </row>
    <row r="5" spans="1:20" x14ac:dyDescent="0.3">
      <c r="A5" s="14">
        <v>45486</v>
      </c>
      <c r="B5" s="3" t="s">
        <v>42</v>
      </c>
      <c r="C5" s="4" t="s">
        <v>35</v>
      </c>
      <c r="D5" s="4">
        <v>2024</v>
      </c>
      <c r="E5" s="3" t="s">
        <v>22</v>
      </c>
      <c r="F5" s="3" t="s">
        <v>37</v>
      </c>
      <c r="G5" s="3" t="s">
        <v>24</v>
      </c>
      <c r="H5" s="3" t="s">
        <v>43</v>
      </c>
      <c r="I5" s="5">
        <v>56745.5</v>
      </c>
      <c r="J5" s="5">
        <v>28142.720000000001</v>
      </c>
      <c r="K5" s="5">
        <v>10238.83</v>
      </c>
      <c r="L5" s="5">
        <f t="shared" si="0"/>
        <v>28602.78</v>
      </c>
      <c r="M5" s="5">
        <f t="shared" si="1"/>
        <v>18363.949999999997</v>
      </c>
      <c r="N5" s="6">
        <f t="shared" si="2"/>
        <v>0.32361949405679741</v>
      </c>
      <c r="O5" s="4">
        <v>155</v>
      </c>
      <c r="P5" s="5">
        <v>64799.66</v>
      </c>
      <c r="Q5" s="5">
        <f t="shared" si="3"/>
        <v>56745.5</v>
      </c>
      <c r="R5" s="7">
        <f t="shared" si="4"/>
        <v>-8054.1600000000035</v>
      </c>
      <c r="S5" s="3" t="s">
        <v>32</v>
      </c>
      <c r="T5" s="3" t="s">
        <v>41</v>
      </c>
    </row>
    <row r="6" spans="1:20" x14ac:dyDescent="0.3">
      <c r="A6" s="14">
        <v>45574</v>
      </c>
      <c r="B6" s="3" t="s">
        <v>44</v>
      </c>
      <c r="C6" s="4" t="s">
        <v>21</v>
      </c>
      <c r="D6" s="4">
        <v>2024</v>
      </c>
      <c r="E6" s="3" t="s">
        <v>45</v>
      </c>
      <c r="F6" s="3" t="s">
        <v>46</v>
      </c>
      <c r="G6" s="3" t="s">
        <v>24</v>
      </c>
      <c r="H6" s="3" t="s">
        <v>43</v>
      </c>
      <c r="I6" s="5">
        <v>37935.82</v>
      </c>
      <c r="J6" s="5">
        <v>13625.21</v>
      </c>
      <c r="K6" s="5">
        <v>5090.41</v>
      </c>
      <c r="L6" s="5">
        <f t="shared" si="0"/>
        <v>24310.61</v>
      </c>
      <c r="M6" s="5">
        <f t="shared" si="1"/>
        <v>19220.2</v>
      </c>
      <c r="N6" s="6">
        <f t="shared" si="2"/>
        <v>0.50665044277413807</v>
      </c>
      <c r="O6" s="4">
        <v>118</v>
      </c>
      <c r="P6" s="5">
        <v>35538.9</v>
      </c>
      <c r="Q6" s="5">
        <f t="shared" si="3"/>
        <v>37935.82</v>
      </c>
      <c r="R6" s="7">
        <f t="shared" si="4"/>
        <v>2396.9199999999983</v>
      </c>
      <c r="S6" s="3" t="s">
        <v>40</v>
      </c>
      <c r="T6" s="3" t="s">
        <v>33</v>
      </c>
    </row>
    <row r="7" spans="1:20" x14ac:dyDescent="0.3">
      <c r="A7" s="14">
        <v>45343</v>
      </c>
      <c r="B7" s="3" t="s">
        <v>47</v>
      </c>
      <c r="C7" s="4" t="s">
        <v>29</v>
      </c>
      <c r="D7" s="4">
        <v>2024</v>
      </c>
      <c r="E7" s="3" t="s">
        <v>48</v>
      </c>
      <c r="F7" s="3" t="s">
        <v>37</v>
      </c>
      <c r="G7" s="3" t="s">
        <v>49</v>
      </c>
      <c r="H7" s="3" t="s">
        <v>50</v>
      </c>
      <c r="I7" s="5">
        <v>18131.09</v>
      </c>
      <c r="J7" s="5">
        <v>7105.6</v>
      </c>
      <c r="K7" s="5">
        <v>2539.1999999999998</v>
      </c>
      <c r="L7" s="5">
        <f t="shared" si="0"/>
        <v>11025.49</v>
      </c>
      <c r="M7" s="5">
        <f t="shared" si="1"/>
        <v>8486.2900000000009</v>
      </c>
      <c r="N7" s="6">
        <f t="shared" si="2"/>
        <v>0.46805183803069761</v>
      </c>
      <c r="O7" s="4">
        <v>103</v>
      </c>
      <c r="P7" s="5">
        <v>20506.2</v>
      </c>
      <c r="Q7" s="5">
        <f t="shared" si="3"/>
        <v>18131.09</v>
      </c>
      <c r="R7" s="7">
        <f t="shared" si="4"/>
        <v>-2375.1100000000006</v>
      </c>
      <c r="S7" s="3" t="s">
        <v>40</v>
      </c>
      <c r="T7" s="3" t="s">
        <v>33</v>
      </c>
    </row>
    <row r="8" spans="1:20" x14ac:dyDescent="0.3">
      <c r="A8" s="14">
        <v>45565</v>
      </c>
      <c r="B8" s="3" t="s">
        <v>51</v>
      </c>
      <c r="C8" s="4" t="s">
        <v>35</v>
      </c>
      <c r="D8" s="4">
        <v>2024</v>
      </c>
      <c r="E8" s="3" t="s">
        <v>52</v>
      </c>
      <c r="F8" s="3" t="s">
        <v>53</v>
      </c>
      <c r="G8" s="3" t="s">
        <v>49</v>
      </c>
      <c r="H8" s="3" t="s">
        <v>54</v>
      </c>
      <c r="I8" s="5">
        <v>70379.520000000004</v>
      </c>
      <c r="J8" s="5">
        <v>33641.410000000003</v>
      </c>
      <c r="K8" s="5">
        <v>12917.63</v>
      </c>
      <c r="L8" s="5">
        <f t="shared" si="0"/>
        <v>36738.11</v>
      </c>
      <c r="M8" s="5">
        <f t="shared" si="1"/>
        <v>23820.480000000003</v>
      </c>
      <c r="N8" s="6">
        <f t="shared" si="2"/>
        <v>0.33845755128764732</v>
      </c>
      <c r="O8" s="4">
        <v>158</v>
      </c>
      <c r="P8" s="5">
        <v>74277.440000000002</v>
      </c>
      <c r="Q8" s="5">
        <f t="shared" si="3"/>
        <v>70379.520000000004</v>
      </c>
      <c r="R8" s="7">
        <f t="shared" si="4"/>
        <v>-3897.9199999999983</v>
      </c>
      <c r="S8" s="3" t="s">
        <v>40</v>
      </c>
      <c r="T8" s="3" t="s">
        <v>33</v>
      </c>
    </row>
    <row r="9" spans="1:20" x14ac:dyDescent="0.3">
      <c r="A9" s="14">
        <v>45308</v>
      </c>
      <c r="B9" s="3" t="s">
        <v>28</v>
      </c>
      <c r="C9" s="4" t="s">
        <v>29</v>
      </c>
      <c r="D9" s="4">
        <v>2024</v>
      </c>
      <c r="E9" s="3" t="s">
        <v>45</v>
      </c>
      <c r="F9" s="3" t="s">
        <v>55</v>
      </c>
      <c r="G9" s="3" t="s">
        <v>24</v>
      </c>
      <c r="H9" s="3" t="s">
        <v>56</v>
      </c>
      <c r="I9" s="5">
        <v>52762.879999999997</v>
      </c>
      <c r="J9" s="5">
        <v>24452.22</v>
      </c>
      <c r="K9" s="5">
        <v>10958.17</v>
      </c>
      <c r="L9" s="5">
        <f t="shared" si="0"/>
        <v>28310.659999999996</v>
      </c>
      <c r="M9" s="5">
        <f t="shared" si="1"/>
        <v>17352.489999999998</v>
      </c>
      <c r="N9" s="6">
        <f t="shared" si="2"/>
        <v>0.32887685433395597</v>
      </c>
      <c r="O9" s="4">
        <v>128</v>
      </c>
      <c r="P9" s="5">
        <v>48214.080000000002</v>
      </c>
      <c r="Q9" s="5">
        <f t="shared" si="3"/>
        <v>52762.879999999997</v>
      </c>
      <c r="R9" s="7">
        <f t="shared" si="4"/>
        <v>4548.7999999999956</v>
      </c>
      <c r="S9" s="3" t="s">
        <v>32</v>
      </c>
      <c r="T9" s="3" t="s">
        <v>27</v>
      </c>
    </row>
    <row r="10" spans="1:20" x14ac:dyDescent="0.3">
      <c r="A10" s="14">
        <v>45621</v>
      </c>
      <c r="B10" s="3" t="s">
        <v>20</v>
      </c>
      <c r="C10" s="4" t="s">
        <v>21</v>
      </c>
      <c r="D10" s="4">
        <v>2024</v>
      </c>
      <c r="E10" s="3" t="s">
        <v>48</v>
      </c>
      <c r="F10" s="3" t="s">
        <v>53</v>
      </c>
      <c r="G10" s="3" t="s">
        <v>24</v>
      </c>
      <c r="H10" s="3" t="s">
        <v>25</v>
      </c>
      <c r="I10" s="5">
        <v>49504.22</v>
      </c>
      <c r="J10" s="5">
        <v>22662.81</v>
      </c>
      <c r="K10" s="5">
        <v>10497.47</v>
      </c>
      <c r="L10" s="5">
        <f t="shared" si="0"/>
        <v>26841.41</v>
      </c>
      <c r="M10" s="5">
        <f t="shared" si="1"/>
        <v>16343.94</v>
      </c>
      <c r="N10" s="6">
        <f t="shared" si="2"/>
        <v>0.33015245972969576</v>
      </c>
      <c r="O10" s="4">
        <v>146</v>
      </c>
      <c r="P10" s="5">
        <v>48441.37</v>
      </c>
      <c r="Q10" s="5">
        <f t="shared" si="3"/>
        <v>49504.22</v>
      </c>
      <c r="R10" s="7">
        <f t="shared" si="4"/>
        <v>1062.8499999999985</v>
      </c>
      <c r="S10" s="3" t="s">
        <v>26</v>
      </c>
      <c r="T10" s="3" t="s">
        <v>27</v>
      </c>
    </row>
    <row r="11" spans="1:20" x14ac:dyDescent="0.3">
      <c r="A11" s="14">
        <v>45477</v>
      </c>
      <c r="B11" s="3" t="s">
        <v>42</v>
      </c>
      <c r="C11" s="4" t="s">
        <v>35</v>
      </c>
      <c r="D11" s="4">
        <v>2024</v>
      </c>
      <c r="E11" s="3" t="s">
        <v>52</v>
      </c>
      <c r="F11" s="3" t="s">
        <v>53</v>
      </c>
      <c r="G11" s="3" t="s">
        <v>57</v>
      </c>
      <c r="H11" s="3" t="s">
        <v>58</v>
      </c>
      <c r="I11" s="5">
        <v>22688.82</v>
      </c>
      <c r="J11" s="5">
        <v>11848.57</v>
      </c>
      <c r="K11" s="5">
        <v>2789.05</v>
      </c>
      <c r="L11" s="5">
        <f t="shared" si="0"/>
        <v>10840.25</v>
      </c>
      <c r="M11" s="5">
        <f t="shared" si="1"/>
        <v>8051.2</v>
      </c>
      <c r="N11" s="6">
        <f t="shared" si="2"/>
        <v>0.35485318319771586</v>
      </c>
      <c r="O11" s="4">
        <v>66</v>
      </c>
      <c r="P11" s="5">
        <v>20374.439999999999</v>
      </c>
      <c r="Q11" s="5">
        <f t="shared" si="3"/>
        <v>22688.82</v>
      </c>
      <c r="R11" s="7">
        <f t="shared" si="4"/>
        <v>2314.380000000001</v>
      </c>
      <c r="S11" s="3" t="s">
        <v>32</v>
      </c>
      <c r="T11" s="3" t="s">
        <v>41</v>
      </c>
    </row>
    <row r="12" spans="1:20" x14ac:dyDescent="0.3">
      <c r="A12" s="14">
        <v>45489</v>
      </c>
      <c r="B12" s="3" t="s">
        <v>42</v>
      </c>
      <c r="C12" s="4" t="s">
        <v>35</v>
      </c>
      <c r="D12" s="4">
        <v>2024</v>
      </c>
      <c r="E12" s="3" t="s">
        <v>48</v>
      </c>
      <c r="F12" s="3" t="s">
        <v>46</v>
      </c>
      <c r="G12" s="3" t="s">
        <v>49</v>
      </c>
      <c r="H12" s="3" t="s">
        <v>59</v>
      </c>
      <c r="I12" s="5">
        <v>64738.16</v>
      </c>
      <c r="J12" s="5">
        <v>33803.410000000003</v>
      </c>
      <c r="K12" s="5">
        <v>6585.31</v>
      </c>
      <c r="L12" s="5">
        <f t="shared" si="0"/>
        <v>30934.75</v>
      </c>
      <c r="M12" s="5">
        <f t="shared" si="1"/>
        <v>24349.439999999999</v>
      </c>
      <c r="N12" s="6">
        <f t="shared" si="2"/>
        <v>0.37612190398985695</v>
      </c>
      <c r="O12" s="4">
        <v>148</v>
      </c>
      <c r="P12" s="5">
        <v>69024.899999999994</v>
      </c>
      <c r="Q12" s="5">
        <f t="shared" si="3"/>
        <v>64738.16</v>
      </c>
      <c r="R12" s="7">
        <f t="shared" si="4"/>
        <v>-4286.7399999999907</v>
      </c>
      <c r="S12" s="3" t="s">
        <v>26</v>
      </c>
      <c r="T12" s="3" t="s">
        <v>60</v>
      </c>
    </row>
    <row r="13" spans="1:20" x14ac:dyDescent="0.3">
      <c r="A13" s="14">
        <v>45620</v>
      </c>
      <c r="B13" s="3" t="s">
        <v>20</v>
      </c>
      <c r="C13" s="4" t="s">
        <v>21</v>
      </c>
      <c r="D13" s="4">
        <v>2024</v>
      </c>
      <c r="E13" s="3" t="s">
        <v>45</v>
      </c>
      <c r="F13" s="3" t="s">
        <v>23</v>
      </c>
      <c r="G13" s="3" t="s">
        <v>24</v>
      </c>
      <c r="H13" s="3" t="s">
        <v>61</v>
      </c>
      <c r="I13" s="5">
        <v>21237</v>
      </c>
      <c r="J13" s="5">
        <v>11484.19</v>
      </c>
      <c r="K13" s="5">
        <v>4913.7700000000004</v>
      </c>
      <c r="L13" s="5">
        <f t="shared" si="0"/>
        <v>9752.81</v>
      </c>
      <c r="M13" s="5">
        <f t="shared" si="1"/>
        <v>4839.0399999999991</v>
      </c>
      <c r="N13" s="6">
        <f t="shared" si="2"/>
        <v>0.22785892546028155</v>
      </c>
      <c r="O13" s="4">
        <v>100</v>
      </c>
      <c r="P13" s="5">
        <v>19729.53</v>
      </c>
      <c r="Q13" s="5">
        <f t="shared" si="3"/>
        <v>21237</v>
      </c>
      <c r="R13" s="7">
        <f t="shared" si="4"/>
        <v>1507.4700000000012</v>
      </c>
      <c r="S13" s="3" t="s">
        <v>26</v>
      </c>
      <c r="T13" s="3" t="s">
        <v>33</v>
      </c>
    </row>
    <row r="14" spans="1:20" x14ac:dyDescent="0.3">
      <c r="A14" s="14">
        <v>45551</v>
      </c>
      <c r="B14" s="3" t="s">
        <v>51</v>
      </c>
      <c r="C14" s="4" t="s">
        <v>35</v>
      </c>
      <c r="D14" s="4">
        <v>2024</v>
      </c>
      <c r="E14" s="3" t="s">
        <v>22</v>
      </c>
      <c r="F14" s="3" t="s">
        <v>37</v>
      </c>
      <c r="G14" s="3" t="s">
        <v>57</v>
      </c>
      <c r="H14" s="3" t="s">
        <v>62</v>
      </c>
      <c r="I14" s="5">
        <v>9860.2900000000009</v>
      </c>
      <c r="J14" s="5">
        <v>4954.82</v>
      </c>
      <c r="K14" s="5">
        <v>1783.79</v>
      </c>
      <c r="L14" s="5">
        <f t="shared" si="0"/>
        <v>4905.4700000000012</v>
      </c>
      <c r="M14" s="5">
        <f t="shared" si="1"/>
        <v>3121.6800000000012</v>
      </c>
      <c r="N14" s="6">
        <f t="shared" si="2"/>
        <v>0.31659109417674336</v>
      </c>
      <c r="O14" s="4">
        <v>121</v>
      </c>
      <c r="P14" s="5">
        <v>10684.49</v>
      </c>
      <c r="Q14" s="5">
        <f t="shared" si="3"/>
        <v>9860.2900000000009</v>
      </c>
      <c r="R14" s="7">
        <f t="shared" si="4"/>
        <v>-824.19999999999891</v>
      </c>
      <c r="S14" s="3" t="s">
        <v>26</v>
      </c>
      <c r="T14" s="3" t="s">
        <v>41</v>
      </c>
    </row>
    <row r="15" spans="1:20" x14ac:dyDescent="0.3">
      <c r="A15" s="14">
        <v>45598</v>
      </c>
      <c r="B15" s="3" t="s">
        <v>20</v>
      </c>
      <c r="C15" s="4" t="s">
        <v>21</v>
      </c>
      <c r="D15" s="4">
        <v>2024</v>
      </c>
      <c r="E15" s="3" t="s">
        <v>45</v>
      </c>
      <c r="F15" s="3" t="s">
        <v>55</v>
      </c>
      <c r="G15" s="3" t="s">
        <v>38</v>
      </c>
      <c r="H15" s="3" t="s">
        <v>63</v>
      </c>
      <c r="I15" s="5">
        <v>85585.5</v>
      </c>
      <c r="J15" s="5">
        <v>46820.77</v>
      </c>
      <c r="K15" s="5">
        <v>18915.78</v>
      </c>
      <c r="L15" s="5">
        <f t="shared" si="0"/>
        <v>38764.730000000003</v>
      </c>
      <c r="M15" s="5">
        <f t="shared" si="1"/>
        <v>19848.950000000004</v>
      </c>
      <c r="N15" s="6">
        <f t="shared" si="2"/>
        <v>0.23191954244585827</v>
      </c>
      <c r="O15" s="4">
        <v>495</v>
      </c>
      <c r="P15" s="5">
        <v>78895.77</v>
      </c>
      <c r="Q15" s="5">
        <f t="shared" si="3"/>
        <v>85585.5</v>
      </c>
      <c r="R15" s="7">
        <f t="shared" si="4"/>
        <v>6689.7299999999959</v>
      </c>
      <c r="S15" s="3" t="s">
        <v>64</v>
      </c>
      <c r="T15" s="3" t="s">
        <v>41</v>
      </c>
    </row>
    <row r="16" spans="1:20" x14ac:dyDescent="0.3">
      <c r="A16" s="14">
        <v>45335</v>
      </c>
      <c r="B16" s="3" t="s">
        <v>47</v>
      </c>
      <c r="C16" s="4" t="s">
        <v>29</v>
      </c>
      <c r="D16" s="4">
        <v>2024</v>
      </c>
      <c r="E16" s="3" t="s">
        <v>48</v>
      </c>
      <c r="F16" s="3" t="s">
        <v>23</v>
      </c>
      <c r="G16" s="3" t="s">
        <v>57</v>
      </c>
      <c r="H16" s="3" t="s">
        <v>65</v>
      </c>
      <c r="I16" s="5">
        <v>25669.15</v>
      </c>
      <c r="J16" s="5">
        <v>13845.16</v>
      </c>
      <c r="K16" s="5">
        <v>3202.72</v>
      </c>
      <c r="L16" s="5">
        <f t="shared" si="0"/>
        <v>11823.990000000002</v>
      </c>
      <c r="M16" s="5">
        <f t="shared" si="1"/>
        <v>8621.2700000000023</v>
      </c>
      <c r="N16" s="6">
        <f t="shared" si="2"/>
        <v>0.3358611407078147</v>
      </c>
      <c r="O16" s="4">
        <v>85</v>
      </c>
      <c r="P16" s="5">
        <v>25882.26</v>
      </c>
      <c r="Q16" s="5">
        <f t="shared" si="3"/>
        <v>25669.15</v>
      </c>
      <c r="R16" s="7">
        <f t="shared" si="4"/>
        <v>-213.10999999999694</v>
      </c>
      <c r="S16" s="3" t="s">
        <v>26</v>
      </c>
      <c r="T16" s="3" t="s">
        <v>27</v>
      </c>
    </row>
    <row r="17" spans="1:20" x14ac:dyDescent="0.3">
      <c r="A17" s="14">
        <v>45400</v>
      </c>
      <c r="B17" s="3" t="s">
        <v>66</v>
      </c>
      <c r="C17" s="4" t="s">
        <v>67</v>
      </c>
      <c r="D17" s="4">
        <v>2024</v>
      </c>
      <c r="E17" s="3" t="s">
        <v>36</v>
      </c>
      <c r="F17" s="3" t="s">
        <v>53</v>
      </c>
      <c r="G17" s="3" t="s">
        <v>24</v>
      </c>
      <c r="H17" s="3" t="s">
        <v>61</v>
      </c>
      <c r="I17" s="5">
        <v>108065.1</v>
      </c>
      <c r="J17" s="5">
        <v>47291.45</v>
      </c>
      <c r="K17" s="5">
        <v>19196.29</v>
      </c>
      <c r="L17" s="5">
        <f t="shared" si="0"/>
        <v>60773.650000000009</v>
      </c>
      <c r="M17" s="5">
        <f t="shared" si="1"/>
        <v>41577.360000000008</v>
      </c>
      <c r="N17" s="6">
        <f t="shared" si="2"/>
        <v>0.3847436406388372</v>
      </c>
      <c r="O17" s="4">
        <v>363</v>
      </c>
      <c r="P17" s="5">
        <v>95778.23</v>
      </c>
      <c r="Q17" s="5">
        <f t="shared" si="3"/>
        <v>108065.1</v>
      </c>
      <c r="R17" s="7">
        <f t="shared" si="4"/>
        <v>12286.87000000001</v>
      </c>
      <c r="S17" s="3" t="s">
        <v>64</v>
      </c>
      <c r="T17" s="3" t="s">
        <v>41</v>
      </c>
    </row>
    <row r="18" spans="1:20" x14ac:dyDescent="0.3">
      <c r="A18" s="14">
        <v>45465</v>
      </c>
      <c r="B18" s="3" t="s">
        <v>68</v>
      </c>
      <c r="C18" s="4" t="s">
        <v>67</v>
      </c>
      <c r="D18" s="4">
        <v>2024</v>
      </c>
      <c r="E18" s="3" t="s">
        <v>22</v>
      </c>
      <c r="F18" s="3" t="s">
        <v>46</v>
      </c>
      <c r="G18" s="3" t="s">
        <v>57</v>
      </c>
      <c r="H18" s="3" t="s">
        <v>65</v>
      </c>
      <c r="I18" s="5">
        <v>35563.589999999997</v>
      </c>
      <c r="J18" s="5">
        <v>12952.21</v>
      </c>
      <c r="K18" s="5">
        <v>6923</v>
      </c>
      <c r="L18" s="5">
        <f t="shared" si="0"/>
        <v>22611.379999999997</v>
      </c>
      <c r="M18" s="5">
        <f t="shared" si="1"/>
        <v>15688.379999999997</v>
      </c>
      <c r="N18" s="6">
        <f t="shared" si="2"/>
        <v>0.44113600454847218</v>
      </c>
      <c r="O18" s="4">
        <v>321</v>
      </c>
      <c r="P18" s="5">
        <v>32671.65</v>
      </c>
      <c r="Q18" s="5">
        <f t="shared" si="3"/>
        <v>35563.589999999997</v>
      </c>
      <c r="R18" s="7">
        <f t="shared" si="4"/>
        <v>2891.9399999999951</v>
      </c>
      <c r="S18" s="3" t="s">
        <v>40</v>
      </c>
      <c r="T18" s="3" t="s">
        <v>60</v>
      </c>
    </row>
    <row r="19" spans="1:20" x14ac:dyDescent="0.3">
      <c r="A19" s="14">
        <v>45328</v>
      </c>
      <c r="B19" s="3" t="s">
        <v>47</v>
      </c>
      <c r="C19" s="4" t="s">
        <v>29</v>
      </c>
      <c r="D19" s="4">
        <v>2024</v>
      </c>
      <c r="E19" s="3" t="s">
        <v>36</v>
      </c>
      <c r="F19" s="3" t="s">
        <v>53</v>
      </c>
      <c r="G19" s="3" t="s">
        <v>24</v>
      </c>
      <c r="H19" s="3" t="s">
        <v>61</v>
      </c>
      <c r="I19" s="5">
        <v>32194.53</v>
      </c>
      <c r="J19" s="5">
        <v>15925.68</v>
      </c>
      <c r="K19" s="5">
        <v>7480.64</v>
      </c>
      <c r="L19" s="5">
        <f t="shared" si="0"/>
        <v>16268.849999999999</v>
      </c>
      <c r="M19" s="5">
        <f t="shared" si="1"/>
        <v>8788.2099999999991</v>
      </c>
      <c r="N19" s="6">
        <f t="shared" si="2"/>
        <v>0.27297214775304995</v>
      </c>
      <c r="O19" s="4">
        <v>129</v>
      </c>
      <c r="P19" s="5">
        <v>32930.61</v>
      </c>
      <c r="Q19" s="5">
        <f t="shared" si="3"/>
        <v>32194.53</v>
      </c>
      <c r="R19" s="7">
        <f t="shared" si="4"/>
        <v>-736.08000000000175</v>
      </c>
      <c r="S19" s="3" t="s">
        <v>64</v>
      </c>
      <c r="T19" s="3" t="s">
        <v>27</v>
      </c>
    </row>
    <row r="20" spans="1:20" x14ac:dyDescent="0.3">
      <c r="A20" s="14">
        <v>45500</v>
      </c>
      <c r="B20" s="3" t="s">
        <v>42</v>
      </c>
      <c r="C20" s="4" t="s">
        <v>35</v>
      </c>
      <c r="D20" s="4">
        <v>2024</v>
      </c>
      <c r="E20" s="3" t="s">
        <v>52</v>
      </c>
      <c r="F20" s="3" t="s">
        <v>23</v>
      </c>
      <c r="G20" s="3" t="s">
        <v>38</v>
      </c>
      <c r="H20" s="3" t="s">
        <v>69</v>
      </c>
      <c r="I20" s="5">
        <v>40051.26</v>
      </c>
      <c r="J20" s="5">
        <v>17758.93</v>
      </c>
      <c r="K20" s="5">
        <v>8385.19</v>
      </c>
      <c r="L20" s="5">
        <f t="shared" si="0"/>
        <v>22292.33</v>
      </c>
      <c r="M20" s="5">
        <f t="shared" si="1"/>
        <v>13907.140000000001</v>
      </c>
      <c r="N20" s="6">
        <f t="shared" si="2"/>
        <v>0.34723352024380755</v>
      </c>
      <c r="O20" s="4">
        <v>201</v>
      </c>
      <c r="P20" s="5">
        <v>42134.3</v>
      </c>
      <c r="Q20" s="5">
        <f t="shared" si="3"/>
        <v>40051.26</v>
      </c>
      <c r="R20" s="7">
        <f t="shared" si="4"/>
        <v>-2083.0400000000009</v>
      </c>
      <c r="S20" s="3" t="s">
        <v>40</v>
      </c>
      <c r="T20" s="3" t="s">
        <v>41</v>
      </c>
    </row>
    <row r="21" spans="1:20" x14ac:dyDescent="0.3">
      <c r="A21" s="14">
        <v>45498</v>
      </c>
      <c r="B21" s="3" t="s">
        <v>42</v>
      </c>
      <c r="C21" s="4" t="s">
        <v>35</v>
      </c>
      <c r="D21" s="4">
        <v>2024</v>
      </c>
      <c r="E21" s="3" t="s">
        <v>45</v>
      </c>
      <c r="F21" s="3" t="s">
        <v>23</v>
      </c>
      <c r="G21" s="3" t="s">
        <v>30</v>
      </c>
      <c r="H21" s="3" t="s">
        <v>31</v>
      </c>
      <c r="I21" s="5">
        <v>29048.76</v>
      </c>
      <c r="J21" s="5">
        <v>10981.49</v>
      </c>
      <c r="K21" s="5">
        <v>3704.39</v>
      </c>
      <c r="L21" s="5">
        <f t="shared" si="0"/>
        <v>18067.269999999997</v>
      </c>
      <c r="M21" s="5">
        <f t="shared" si="1"/>
        <v>14362.879999999997</v>
      </c>
      <c r="N21" s="6">
        <f t="shared" si="2"/>
        <v>0.49444038230891779</v>
      </c>
      <c r="O21" s="4">
        <v>117</v>
      </c>
      <c r="P21" s="5">
        <v>28723.08</v>
      </c>
      <c r="Q21" s="5">
        <f t="shared" si="3"/>
        <v>29048.76</v>
      </c>
      <c r="R21" s="7">
        <f t="shared" si="4"/>
        <v>325.67999999999665</v>
      </c>
      <c r="S21" s="3" t="s">
        <v>40</v>
      </c>
      <c r="T21" s="3" t="s">
        <v>27</v>
      </c>
    </row>
    <row r="22" spans="1:20" x14ac:dyDescent="0.3">
      <c r="A22" s="14">
        <v>45573</v>
      </c>
      <c r="B22" s="3" t="s">
        <v>44</v>
      </c>
      <c r="C22" s="4" t="s">
        <v>21</v>
      </c>
      <c r="D22" s="4">
        <v>2024</v>
      </c>
      <c r="E22" s="3" t="s">
        <v>22</v>
      </c>
      <c r="F22" s="3" t="s">
        <v>23</v>
      </c>
      <c r="G22" s="3" t="s">
        <v>57</v>
      </c>
      <c r="H22" s="3" t="s">
        <v>70</v>
      </c>
      <c r="I22" s="5">
        <v>28003.99</v>
      </c>
      <c r="J22" s="5">
        <v>14554.77</v>
      </c>
      <c r="K22" s="5">
        <v>3499.01</v>
      </c>
      <c r="L22" s="5">
        <f t="shared" si="0"/>
        <v>13449.220000000001</v>
      </c>
      <c r="M22" s="5">
        <f t="shared" si="1"/>
        <v>9950.2100000000009</v>
      </c>
      <c r="N22" s="6">
        <f t="shared" si="2"/>
        <v>0.35531401061063084</v>
      </c>
      <c r="O22" s="4">
        <v>67</v>
      </c>
      <c r="P22" s="5">
        <v>27883.360000000001</v>
      </c>
      <c r="Q22" s="5">
        <f t="shared" si="3"/>
        <v>28003.99</v>
      </c>
      <c r="R22" s="7">
        <f t="shared" si="4"/>
        <v>120.63000000000102</v>
      </c>
      <c r="S22" s="3" t="s">
        <v>64</v>
      </c>
      <c r="T22" s="3" t="s">
        <v>27</v>
      </c>
    </row>
    <row r="23" spans="1:20" x14ac:dyDescent="0.3">
      <c r="A23" s="14">
        <v>45322</v>
      </c>
      <c r="B23" s="3" t="s">
        <v>28</v>
      </c>
      <c r="C23" s="4" t="s">
        <v>29</v>
      </c>
      <c r="D23" s="4">
        <v>2024</v>
      </c>
      <c r="E23" s="3" t="s">
        <v>52</v>
      </c>
      <c r="F23" s="3" t="s">
        <v>55</v>
      </c>
      <c r="G23" s="3" t="s">
        <v>38</v>
      </c>
      <c r="H23" s="3" t="s">
        <v>69</v>
      </c>
      <c r="I23" s="5">
        <v>64796.2</v>
      </c>
      <c r="J23" s="5">
        <v>32853.35</v>
      </c>
      <c r="K23" s="5">
        <v>9252.08</v>
      </c>
      <c r="L23" s="5">
        <f t="shared" si="0"/>
        <v>31942.85</v>
      </c>
      <c r="M23" s="5">
        <f t="shared" si="1"/>
        <v>22690.769999999997</v>
      </c>
      <c r="N23" s="6">
        <f t="shared" si="2"/>
        <v>0.35018673934582578</v>
      </c>
      <c r="O23" s="4">
        <v>155</v>
      </c>
      <c r="P23" s="5">
        <v>68617.710000000006</v>
      </c>
      <c r="Q23" s="5">
        <f t="shared" si="3"/>
        <v>64796.2</v>
      </c>
      <c r="R23" s="7">
        <f t="shared" si="4"/>
        <v>-3821.5100000000093</v>
      </c>
      <c r="S23" s="3" t="s">
        <v>26</v>
      </c>
      <c r="T23" s="3" t="s">
        <v>27</v>
      </c>
    </row>
    <row r="24" spans="1:20" x14ac:dyDescent="0.3">
      <c r="A24" s="14">
        <v>45371</v>
      </c>
      <c r="B24" s="3" t="s">
        <v>71</v>
      </c>
      <c r="C24" s="4" t="s">
        <v>29</v>
      </c>
      <c r="D24" s="4">
        <v>2024</v>
      </c>
      <c r="E24" s="3" t="s">
        <v>52</v>
      </c>
      <c r="F24" s="3" t="s">
        <v>37</v>
      </c>
      <c r="G24" s="3" t="s">
        <v>30</v>
      </c>
      <c r="H24" s="3" t="s">
        <v>72</v>
      </c>
      <c r="I24" s="5">
        <v>105875.8</v>
      </c>
      <c r="J24" s="5">
        <v>38347.32</v>
      </c>
      <c r="K24" s="5">
        <v>15568.05</v>
      </c>
      <c r="L24" s="5">
        <f t="shared" si="0"/>
        <v>67528.48000000001</v>
      </c>
      <c r="M24" s="5">
        <f t="shared" si="1"/>
        <v>51960.430000000008</v>
      </c>
      <c r="N24" s="6">
        <f t="shared" si="2"/>
        <v>0.49076776751627854</v>
      </c>
      <c r="O24" s="4">
        <v>316</v>
      </c>
      <c r="P24" s="5">
        <v>91587.09</v>
      </c>
      <c r="Q24" s="5">
        <f t="shared" si="3"/>
        <v>105875.8</v>
      </c>
      <c r="R24" s="7">
        <f t="shared" si="4"/>
        <v>14288.710000000006</v>
      </c>
      <c r="S24" s="3" t="s">
        <v>32</v>
      </c>
      <c r="T24" s="3" t="s">
        <v>33</v>
      </c>
    </row>
    <row r="25" spans="1:20" x14ac:dyDescent="0.3">
      <c r="A25" s="14">
        <v>45321</v>
      </c>
      <c r="B25" s="3" t="s">
        <v>28</v>
      </c>
      <c r="C25" s="4" t="s">
        <v>29</v>
      </c>
      <c r="D25" s="4">
        <v>2024</v>
      </c>
      <c r="E25" s="3" t="s">
        <v>36</v>
      </c>
      <c r="F25" s="3" t="s">
        <v>23</v>
      </c>
      <c r="G25" s="3" t="s">
        <v>30</v>
      </c>
      <c r="H25" s="3" t="s">
        <v>72</v>
      </c>
      <c r="I25" s="5">
        <v>14437.44</v>
      </c>
      <c r="J25" s="5">
        <v>7541.6</v>
      </c>
      <c r="K25" s="5">
        <v>2318.17</v>
      </c>
      <c r="L25" s="5">
        <f t="shared" si="0"/>
        <v>6895.84</v>
      </c>
      <c r="M25" s="5">
        <f t="shared" si="1"/>
        <v>4577.67</v>
      </c>
      <c r="N25" s="6">
        <f t="shared" si="2"/>
        <v>0.31706936963893878</v>
      </c>
      <c r="O25" s="4">
        <v>324</v>
      </c>
      <c r="P25" s="5">
        <v>16350.1</v>
      </c>
      <c r="Q25" s="5">
        <f t="shared" si="3"/>
        <v>14437.44</v>
      </c>
      <c r="R25" s="7">
        <f t="shared" si="4"/>
        <v>-1912.6599999999999</v>
      </c>
      <c r="S25" s="3" t="s">
        <v>26</v>
      </c>
      <c r="T25" s="3" t="s">
        <v>33</v>
      </c>
    </row>
    <row r="26" spans="1:20" x14ac:dyDescent="0.3">
      <c r="A26" s="14">
        <v>45588</v>
      </c>
      <c r="B26" s="3" t="s">
        <v>44</v>
      </c>
      <c r="C26" s="4" t="s">
        <v>21</v>
      </c>
      <c r="D26" s="4">
        <v>2024</v>
      </c>
      <c r="E26" s="3" t="s">
        <v>36</v>
      </c>
      <c r="F26" s="3" t="s">
        <v>23</v>
      </c>
      <c r="G26" s="3" t="s">
        <v>57</v>
      </c>
      <c r="H26" s="3" t="s">
        <v>70</v>
      </c>
      <c r="I26" s="5">
        <v>70424.639999999999</v>
      </c>
      <c r="J26" s="5">
        <v>32609.8</v>
      </c>
      <c r="K26" s="5">
        <v>10384.5</v>
      </c>
      <c r="L26" s="5">
        <f t="shared" si="0"/>
        <v>37814.839999999997</v>
      </c>
      <c r="M26" s="5">
        <f t="shared" si="1"/>
        <v>27430.339999999997</v>
      </c>
      <c r="N26" s="6">
        <f t="shared" si="2"/>
        <v>0.3894991866483094</v>
      </c>
      <c r="O26" s="4">
        <v>234</v>
      </c>
      <c r="P26" s="5">
        <v>65370.239999999998</v>
      </c>
      <c r="Q26" s="5">
        <f t="shared" si="3"/>
        <v>70424.639999999999</v>
      </c>
      <c r="R26" s="7">
        <f t="shared" si="4"/>
        <v>5054.4000000000015</v>
      </c>
      <c r="S26" s="3" t="s">
        <v>73</v>
      </c>
      <c r="T26" s="3" t="s">
        <v>33</v>
      </c>
    </row>
    <row r="27" spans="1:20" x14ac:dyDescent="0.3">
      <c r="A27" s="14">
        <v>45427</v>
      </c>
      <c r="B27" s="3" t="s">
        <v>74</v>
      </c>
      <c r="C27" s="4" t="s">
        <v>67</v>
      </c>
      <c r="D27" s="4">
        <v>2024</v>
      </c>
      <c r="E27" s="3" t="s">
        <v>48</v>
      </c>
      <c r="F27" s="3" t="s">
        <v>53</v>
      </c>
      <c r="G27" s="3" t="s">
        <v>24</v>
      </c>
      <c r="H27" s="3" t="s">
        <v>61</v>
      </c>
      <c r="I27" s="5">
        <v>75860.72</v>
      </c>
      <c r="J27" s="5">
        <v>40748.35</v>
      </c>
      <c r="K27" s="5">
        <v>7692.07</v>
      </c>
      <c r="L27" s="5">
        <f t="shared" si="0"/>
        <v>35112.370000000003</v>
      </c>
      <c r="M27" s="5">
        <f t="shared" si="1"/>
        <v>27420.300000000003</v>
      </c>
      <c r="N27" s="6">
        <f t="shared" si="2"/>
        <v>0.36145583643287332</v>
      </c>
      <c r="O27" s="4">
        <v>181</v>
      </c>
      <c r="P27" s="5">
        <v>78618.09</v>
      </c>
      <c r="Q27" s="5">
        <f t="shared" si="3"/>
        <v>75860.72</v>
      </c>
      <c r="R27" s="7">
        <f t="shared" si="4"/>
        <v>-2757.3699999999953</v>
      </c>
      <c r="S27" s="3" t="s">
        <v>26</v>
      </c>
      <c r="T27" s="3" t="s">
        <v>41</v>
      </c>
    </row>
    <row r="28" spans="1:20" x14ac:dyDescent="0.3">
      <c r="A28" s="14">
        <v>45329</v>
      </c>
      <c r="B28" s="3" t="s">
        <v>47</v>
      </c>
      <c r="C28" s="4" t="s">
        <v>29</v>
      </c>
      <c r="D28" s="4">
        <v>2024</v>
      </c>
      <c r="E28" s="3" t="s">
        <v>36</v>
      </c>
      <c r="F28" s="3" t="s">
        <v>53</v>
      </c>
      <c r="G28" s="3" t="s">
        <v>57</v>
      </c>
      <c r="H28" s="3" t="s">
        <v>75</v>
      </c>
      <c r="I28" s="5">
        <v>36624.39</v>
      </c>
      <c r="J28" s="5">
        <v>19270.759999999998</v>
      </c>
      <c r="K28" s="5">
        <v>8492.85</v>
      </c>
      <c r="L28" s="5">
        <f t="shared" si="0"/>
        <v>17353.63</v>
      </c>
      <c r="M28" s="5">
        <f t="shared" si="1"/>
        <v>8860.7800000000007</v>
      </c>
      <c r="N28" s="6">
        <f t="shared" si="2"/>
        <v>0.24193658925104283</v>
      </c>
      <c r="O28" s="4">
        <v>87</v>
      </c>
      <c r="P28" s="5">
        <v>35190.839999999997</v>
      </c>
      <c r="Q28" s="5">
        <f t="shared" si="3"/>
        <v>36624.39</v>
      </c>
      <c r="R28" s="7">
        <f t="shared" si="4"/>
        <v>1433.5500000000029</v>
      </c>
      <c r="S28" s="3" t="s">
        <v>64</v>
      </c>
      <c r="T28" s="3" t="s">
        <v>27</v>
      </c>
    </row>
    <row r="29" spans="1:20" x14ac:dyDescent="0.3">
      <c r="A29" s="14">
        <v>45570</v>
      </c>
      <c r="B29" s="3" t="s">
        <v>44</v>
      </c>
      <c r="C29" s="4" t="s">
        <v>21</v>
      </c>
      <c r="D29" s="4">
        <v>2024</v>
      </c>
      <c r="E29" s="3" t="s">
        <v>45</v>
      </c>
      <c r="F29" s="3" t="s">
        <v>46</v>
      </c>
      <c r="G29" s="3" t="s">
        <v>57</v>
      </c>
      <c r="H29" s="3" t="s">
        <v>70</v>
      </c>
      <c r="I29" s="5">
        <v>133728.84</v>
      </c>
      <c r="J29" s="5">
        <v>54812.21</v>
      </c>
      <c r="K29" s="5">
        <v>26680.01</v>
      </c>
      <c r="L29" s="5">
        <f t="shared" si="0"/>
        <v>78916.63</v>
      </c>
      <c r="M29" s="5">
        <f t="shared" si="1"/>
        <v>52236.62000000001</v>
      </c>
      <c r="N29" s="6">
        <f t="shared" si="2"/>
        <v>0.39061596586046815</v>
      </c>
      <c r="O29" s="4">
        <v>361</v>
      </c>
      <c r="P29" s="5">
        <v>151338.12</v>
      </c>
      <c r="Q29" s="5">
        <f t="shared" si="3"/>
        <v>133728.84</v>
      </c>
      <c r="R29" s="7">
        <f t="shared" si="4"/>
        <v>-17609.28</v>
      </c>
      <c r="S29" s="3" t="s">
        <v>64</v>
      </c>
      <c r="T29" s="3" t="s">
        <v>60</v>
      </c>
    </row>
    <row r="30" spans="1:20" x14ac:dyDescent="0.3">
      <c r="A30" s="14">
        <v>45351</v>
      </c>
      <c r="B30" s="3" t="s">
        <v>47</v>
      </c>
      <c r="C30" s="4" t="s">
        <v>29</v>
      </c>
      <c r="D30" s="4">
        <v>2024</v>
      </c>
      <c r="E30" s="3" t="s">
        <v>22</v>
      </c>
      <c r="F30" s="3" t="s">
        <v>46</v>
      </c>
      <c r="G30" s="3" t="s">
        <v>30</v>
      </c>
      <c r="H30" s="3" t="s">
        <v>76</v>
      </c>
      <c r="I30" s="5">
        <v>45608.4</v>
      </c>
      <c r="J30" s="5">
        <v>22508.77</v>
      </c>
      <c r="K30" s="5">
        <v>5953.7</v>
      </c>
      <c r="L30" s="5">
        <f t="shared" si="0"/>
        <v>23099.63</v>
      </c>
      <c r="M30" s="5">
        <f t="shared" si="1"/>
        <v>17145.93</v>
      </c>
      <c r="N30" s="6">
        <f t="shared" si="2"/>
        <v>0.37593798510800641</v>
      </c>
      <c r="O30" s="4">
        <v>164</v>
      </c>
      <c r="P30" s="5">
        <v>47445.11</v>
      </c>
      <c r="Q30" s="5">
        <f t="shared" si="3"/>
        <v>45608.4</v>
      </c>
      <c r="R30" s="7">
        <f t="shared" si="4"/>
        <v>-1836.7099999999991</v>
      </c>
      <c r="S30" s="3" t="s">
        <v>73</v>
      </c>
      <c r="T30" s="3" t="s">
        <v>27</v>
      </c>
    </row>
    <row r="31" spans="1:20" x14ac:dyDescent="0.3">
      <c r="A31" s="14">
        <v>45420</v>
      </c>
      <c r="B31" s="3" t="s">
        <v>74</v>
      </c>
      <c r="C31" s="4" t="s">
        <v>67</v>
      </c>
      <c r="D31" s="4">
        <v>2024</v>
      </c>
      <c r="E31" s="3" t="s">
        <v>22</v>
      </c>
      <c r="F31" s="3" t="s">
        <v>23</v>
      </c>
      <c r="G31" s="3" t="s">
        <v>49</v>
      </c>
      <c r="H31" s="3" t="s">
        <v>50</v>
      </c>
      <c r="I31" s="5">
        <v>694.68</v>
      </c>
      <c r="J31" s="5">
        <v>350.27</v>
      </c>
      <c r="K31" s="5">
        <v>135.86000000000001</v>
      </c>
      <c r="L31" s="5">
        <f t="shared" si="0"/>
        <v>344.40999999999997</v>
      </c>
      <c r="M31" s="5">
        <f t="shared" si="1"/>
        <v>208.54999999999995</v>
      </c>
      <c r="N31" s="6">
        <f t="shared" si="2"/>
        <v>0.30021016871077327</v>
      </c>
      <c r="O31" s="4">
        <v>42</v>
      </c>
      <c r="P31" s="5">
        <v>645.07000000000005</v>
      </c>
      <c r="Q31" s="5">
        <f t="shared" si="3"/>
        <v>694.68</v>
      </c>
      <c r="R31" s="7">
        <f t="shared" si="4"/>
        <v>49.6099999999999</v>
      </c>
      <c r="S31" s="3" t="s">
        <v>32</v>
      </c>
      <c r="T31" s="3" t="s">
        <v>27</v>
      </c>
    </row>
    <row r="32" spans="1:20" x14ac:dyDescent="0.3">
      <c r="A32" s="14">
        <v>45579</v>
      </c>
      <c r="B32" s="3" t="s">
        <v>44</v>
      </c>
      <c r="C32" s="4" t="s">
        <v>21</v>
      </c>
      <c r="D32" s="4">
        <v>2024</v>
      </c>
      <c r="E32" s="3" t="s">
        <v>22</v>
      </c>
      <c r="F32" s="3" t="s">
        <v>23</v>
      </c>
      <c r="G32" s="3" t="s">
        <v>38</v>
      </c>
      <c r="H32" s="3" t="s">
        <v>39</v>
      </c>
      <c r="I32" s="5">
        <v>9170.33</v>
      </c>
      <c r="J32" s="5">
        <v>3886.78</v>
      </c>
      <c r="K32" s="5">
        <v>1677.06</v>
      </c>
      <c r="L32" s="5">
        <f t="shared" si="0"/>
        <v>5283.5499999999993</v>
      </c>
      <c r="M32" s="5">
        <f t="shared" si="1"/>
        <v>3606.4899999999993</v>
      </c>
      <c r="N32" s="6">
        <f t="shared" si="2"/>
        <v>0.39327810449569417</v>
      </c>
      <c r="O32" s="4">
        <v>299</v>
      </c>
      <c r="P32" s="5">
        <v>8977.17</v>
      </c>
      <c r="Q32" s="5">
        <f t="shared" si="3"/>
        <v>9170.33</v>
      </c>
      <c r="R32" s="7">
        <f t="shared" si="4"/>
        <v>193.15999999999985</v>
      </c>
      <c r="S32" s="3" t="s">
        <v>40</v>
      </c>
      <c r="T32" s="3" t="s">
        <v>60</v>
      </c>
    </row>
    <row r="33" spans="1:20" x14ac:dyDescent="0.3">
      <c r="A33" s="14">
        <v>45478</v>
      </c>
      <c r="B33" s="3" t="s">
        <v>42</v>
      </c>
      <c r="C33" s="4" t="s">
        <v>35</v>
      </c>
      <c r="D33" s="4">
        <v>2024</v>
      </c>
      <c r="E33" s="3" t="s">
        <v>22</v>
      </c>
      <c r="F33" s="3" t="s">
        <v>37</v>
      </c>
      <c r="G33" s="3" t="s">
        <v>30</v>
      </c>
      <c r="H33" s="3" t="s">
        <v>31</v>
      </c>
      <c r="I33" s="5">
        <v>21558.92</v>
      </c>
      <c r="J33" s="5">
        <v>10909.31</v>
      </c>
      <c r="K33" s="5">
        <v>5015.04</v>
      </c>
      <c r="L33" s="5">
        <f t="shared" si="0"/>
        <v>10649.609999999999</v>
      </c>
      <c r="M33" s="5">
        <f t="shared" si="1"/>
        <v>5634.5699999999988</v>
      </c>
      <c r="N33" s="6">
        <f t="shared" si="2"/>
        <v>0.26135678410606838</v>
      </c>
      <c r="O33" s="4">
        <v>361</v>
      </c>
      <c r="P33" s="5">
        <v>20953.400000000001</v>
      </c>
      <c r="Q33" s="5">
        <f t="shared" si="3"/>
        <v>21558.92</v>
      </c>
      <c r="R33" s="7">
        <f t="shared" si="4"/>
        <v>605.5199999999968</v>
      </c>
      <c r="S33" s="3" t="s">
        <v>26</v>
      </c>
      <c r="T33" s="3" t="s">
        <v>33</v>
      </c>
    </row>
    <row r="34" spans="1:20" x14ac:dyDescent="0.3">
      <c r="A34" s="14">
        <v>45413</v>
      </c>
      <c r="B34" s="3" t="s">
        <v>74</v>
      </c>
      <c r="C34" s="4" t="s">
        <v>67</v>
      </c>
      <c r="D34" s="4">
        <v>2024</v>
      </c>
      <c r="E34" s="3" t="s">
        <v>52</v>
      </c>
      <c r="F34" s="3" t="s">
        <v>53</v>
      </c>
      <c r="G34" s="3" t="s">
        <v>49</v>
      </c>
      <c r="H34" s="3" t="s">
        <v>77</v>
      </c>
      <c r="I34" s="5">
        <v>37230.51</v>
      </c>
      <c r="J34" s="5">
        <v>15504.17</v>
      </c>
      <c r="K34" s="5">
        <v>8921.26</v>
      </c>
      <c r="L34" s="5">
        <f t="shared" ref="L34:L65" si="5">I34-J34</f>
        <v>21726.340000000004</v>
      </c>
      <c r="M34" s="5">
        <f t="shared" ref="M34:M65" si="6">L34-K34</f>
        <v>12805.080000000004</v>
      </c>
      <c r="N34" s="6">
        <f t="shared" ref="N34:N65" si="7">IFERROR(M34/I34,0)</f>
        <v>0.34394049396583615</v>
      </c>
      <c r="O34" s="4">
        <v>111</v>
      </c>
      <c r="P34" s="5">
        <v>40606.22</v>
      </c>
      <c r="Q34" s="5">
        <f t="shared" ref="Q34:Q65" si="8">I34</f>
        <v>37230.51</v>
      </c>
      <c r="R34" s="7">
        <f t="shared" ref="R34:R65" si="9">Q34-P34</f>
        <v>-3375.7099999999991</v>
      </c>
      <c r="S34" s="3" t="s">
        <v>64</v>
      </c>
      <c r="T34" s="3" t="s">
        <v>60</v>
      </c>
    </row>
    <row r="35" spans="1:20" x14ac:dyDescent="0.3">
      <c r="A35" s="14">
        <v>45373</v>
      </c>
      <c r="B35" s="3" t="s">
        <v>71</v>
      </c>
      <c r="C35" s="4" t="s">
        <v>29</v>
      </c>
      <c r="D35" s="4">
        <v>2024</v>
      </c>
      <c r="E35" s="3" t="s">
        <v>22</v>
      </c>
      <c r="F35" s="3" t="s">
        <v>55</v>
      </c>
      <c r="G35" s="3" t="s">
        <v>38</v>
      </c>
      <c r="H35" s="3" t="s">
        <v>69</v>
      </c>
      <c r="I35" s="5">
        <v>13540.73</v>
      </c>
      <c r="J35" s="5">
        <v>7226.56</v>
      </c>
      <c r="K35" s="5">
        <v>2064.27</v>
      </c>
      <c r="L35" s="5">
        <f t="shared" si="5"/>
        <v>6314.1699999999992</v>
      </c>
      <c r="M35" s="5">
        <f t="shared" si="6"/>
        <v>4249.8999999999996</v>
      </c>
      <c r="N35" s="6">
        <f t="shared" si="7"/>
        <v>0.31386047871865103</v>
      </c>
      <c r="O35" s="4">
        <v>133</v>
      </c>
      <c r="P35" s="5">
        <v>14842.82</v>
      </c>
      <c r="Q35" s="5">
        <f t="shared" si="8"/>
        <v>13540.73</v>
      </c>
      <c r="R35" s="7">
        <f t="shared" si="9"/>
        <v>-1302.0900000000001</v>
      </c>
      <c r="S35" s="3" t="s">
        <v>64</v>
      </c>
      <c r="T35" s="3" t="s">
        <v>33</v>
      </c>
    </row>
    <row r="36" spans="1:20" x14ac:dyDescent="0.3">
      <c r="A36" s="14">
        <v>45304</v>
      </c>
      <c r="B36" s="3" t="s">
        <v>28</v>
      </c>
      <c r="C36" s="4" t="s">
        <v>29</v>
      </c>
      <c r="D36" s="4">
        <v>2024</v>
      </c>
      <c r="E36" s="3" t="s">
        <v>52</v>
      </c>
      <c r="F36" s="3" t="s">
        <v>55</v>
      </c>
      <c r="G36" s="3" t="s">
        <v>24</v>
      </c>
      <c r="H36" s="3" t="s">
        <v>78</v>
      </c>
      <c r="I36" s="5">
        <v>20882.400000000001</v>
      </c>
      <c r="J36" s="5">
        <v>10538.62</v>
      </c>
      <c r="K36" s="5">
        <v>3188.16</v>
      </c>
      <c r="L36" s="5">
        <f t="shared" si="5"/>
        <v>10343.780000000001</v>
      </c>
      <c r="M36" s="5">
        <f t="shared" si="6"/>
        <v>7155.6200000000008</v>
      </c>
      <c r="N36" s="6">
        <f t="shared" si="7"/>
        <v>0.34266272076006593</v>
      </c>
      <c r="O36" s="4">
        <v>462</v>
      </c>
      <c r="P36" s="5">
        <v>20941.32</v>
      </c>
      <c r="Q36" s="5">
        <f t="shared" si="8"/>
        <v>20882.400000000001</v>
      </c>
      <c r="R36" s="7">
        <f t="shared" si="9"/>
        <v>-58.919999999998254</v>
      </c>
      <c r="S36" s="3" t="s">
        <v>26</v>
      </c>
      <c r="T36" s="3" t="s">
        <v>60</v>
      </c>
    </row>
    <row r="37" spans="1:20" x14ac:dyDescent="0.3">
      <c r="A37" s="14">
        <v>45306</v>
      </c>
      <c r="B37" s="3" t="s">
        <v>28</v>
      </c>
      <c r="C37" s="4" t="s">
        <v>29</v>
      </c>
      <c r="D37" s="4">
        <v>2024</v>
      </c>
      <c r="E37" s="3" t="s">
        <v>22</v>
      </c>
      <c r="F37" s="3" t="s">
        <v>37</v>
      </c>
      <c r="G37" s="3" t="s">
        <v>30</v>
      </c>
      <c r="H37" s="3" t="s">
        <v>79</v>
      </c>
      <c r="I37" s="5">
        <v>4904.2</v>
      </c>
      <c r="J37" s="5">
        <v>2301.61</v>
      </c>
      <c r="K37" s="5">
        <v>744.72</v>
      </c>
      <c r="L37" s="5">
        <f t="shared" si="5"/>
        <v>2602.5899999999997</v>
      </c>
      <c r="M37" s="5">
        <f t="shared" si="6"/>
        <v>1857.8699999999997</v>
      </c>
      <c r="N37" s="6">
        <f t="shared" si="7"/>
        <v>0.37883242934627459</v>
      </c>
      <c r="O37" s="4">
        <v>155</v>
      </c>
      <c r="P37" s="5">
        <v>5325.61</v>
      </c>
      <c r="Q37" s="5">
        <f t="shared" si="8"/>
        <v>4904.2</v>
      </c>
      <c r="R37" s="7">
        <f t="shared" si="9"/>
        <v>-421.40999999999985</v>
      </c>
      <c r="S37" s="3" t="s">
        <v>32</v>
      </c>
      <c r="T37" s="3" t="s">
        <v>41</v>
      </c>
    </row>
    <row r="38" spans="1:20" x14ac:dyDescent="0.3">
      <c r="A38" s="14">
        <v>45489</v>
      </c>
      <c r="B38" s="3" t="s">
        <v>42</v>
      </c>
      <c r="C38" s="4" t="s">
        <v>35</v>
      </c>
      <c r="D38" s="4">
        <v>2024</v>
      </c>
      <c r="E38" s="3" t="s">
        <v>36</v>
      </c>
      <c r="F38" s="3" t="s">
        <v>53</v>
      </c>
      <c r="G38" s="3" t="s">
        <v>24</v>
      </c>
      <c r="H38" s="3" t="s">
        <v>56</v>
      </c>
      <c r="I38" s="5">
        <v>78191.58</v>
      </c>
      <c r="J38" s="5">
        <v>35497.730000000003</v>
      </c>
      <c r="K38" s="5">
        <v>17278.509999999998</v>
      </c>
      <c r="L38" s="5">
        <f t="shared" si="5"/>
        <v>42693.85</v>
      </c>
      <c r="M38" s="5">
        <f t="shared" si="6"/>
        <v>25415.34</v>
      </c>
      <c r="N38" s="6">
        <f t="shared" si="7"/>
        <v>0.32503934566867687</v>
      </c>
      <c r="O38" s="4">
        <v>382</v>
      </c>
      <c r="P38" s="5">
        <v>82574.78</v>
      </c>
      <c r="Q38" s="5">
        <f t="shared" si="8"/>
        <v>78191.58</v>
      </c>
      <c r="R38" s="7">
        <f t="shared" si="9"/>
        <v>-4383.1999999999971</v>
      </c>
      <c r="S38" s="3" t="s">
        <v>64</v>
      </c>
      <c r="T38" s="3" t="s">
        <v>60</v>
      </c>
    </row>
    <row r="39" spans="1:20" x14ac:dyDescent="0.3">
      <c r="A39" s="14">
        <v>45512</v>
      </c>
      <c r="B39" s="3" t="s">
        <v>34</v>
      </c>
      <c r="C39" s="4" t="s">
        <v>35</v>
      </c>
      <c r="D39" s="4">
        <v>2024</v>
      </c>
      <c r="E39" s="3" t="s">
        <v>22</v>
      </c>
      <c r="F39" s="3" t="s">
        <v>37</v>
      </c>
      <c r="G39" s="3" t="s">
        <v>57</v>
      </c>
      <c r="H39" s="3" t="s">
        <v>75</v>
      </c>
      <c r="I39" s="5">
        <v>137816.51</v>
      </c>
      <c r="J39" s="5">
        <v>68074.58</v>
      </c>
      <c r="K39" s="5">
        <v>19990.060000000001</v>
      </c>
      <c r="L39" s="5">
        <f t="shared" si="5"/>
        <v>69741.930000000008</v>
      </c>
      <c r="M39" s="5">
        <f t="shared" si="6"/>
        <v>49751.87000000001</v>
      </c>
      <c r="N39" s="6">
        <f t="shared" si="7"/>
        <v>0.36100079736455382</v>
      </c>
      <c r="O39" s="4">
        <v>359</v>
      </c>
      <c r="P39" s="5">
        <v>129931.39</v>
      </c>
      <c r="Q39" s="5">
        <f t="shared" si="8"/>
        <v>137816.51</v>
      </c>
      <c r="R39" s="7">
        <f t="shared" si="9"/>
        <v>7885.1200000000099</v>
      </c>
      <c r="S39" s="3" t="s">
        <v>32</v>
      </c>
      <c r="T39" s="3" t="s">
        <v>60</v>
      </c>
    </row>
    <row r="40" spans="1:20" x14ac:dyDescent="0.3">
      <c r="A40" s="14">
        <v>45498</v>
      </c>
      <c r="B40" s="3" t="s">
        <v>42</v>
      </c>
      <c r="C40" s="4" t="s">
        <v>35</v>
      </c>
      <c r="D40" s="4">
        <v>2024</v>
      </c>
      <c r="E40" s="3" t="s">
        <v>45</v>
      </c>
      <c r="F40" s="3" t="s">
        <v>46</v>
      </c>
      <c r="G40" s="3" t="s">
        <v>30</v>
      </c>
      <c r="H40" s="3" t="s">
        <v>31</v>
      </c>
      <c r="I40" s="5">
        <v>71496.399999999994</v>
      </c>
      <c r="J40" s="5">
        <v>30445.24</v>
      </c>
      <c r="K40" s="5">
        <v>15172.98</v>
      </c>
      <c r="L40" s="5">
        <f t="shared" si="5"/>
        <v>41051.159999999989</v>
      </c>
      <c r="M40" s="5">
        <f t="shared" si="6"/>
        <v>25878.179999999989</v>
      </c>
      <c r="N40" s="6">
        <f t="shared" si="7"/>
        <v>0.36195081150939057</v>
      </c>
      <c r="O40" s="4">
        <v>235</v>
      </c>
      <c r="P40" s="5">
        <v>64504.639999999999</v>
      </c>
      <c r="Q40" s="5">
        <f t="shared" si="8"/>
        <v>71496.399999999994</v>
      </c>
      <c r="R40" s="7">
        <f t="shared" si="9"/>
        <v>6991.7599999999948</v>
      </c>
      <c r="S40" s="3" t="s">
        <v>26</v>
      </c>
      <c r="T40" s="3" t="s">
        <v>60</v>
      </c>
    </row>
    <row r="41" spans="1:20" x14ac:dyDescent="0.3">
      <c r="A41" s="14">
        <v>45499</v>
      </c>
      <c r="B41" s="3" t="s">
        <v>42</v>
      </c>
      <c r="C41" s="4" t="s">
        <v>35</v>
      </c>
      <c r="D41" s="4">
        <v>2024</v>
      </c>
      <c r="E41" s="3" t="s">
        <v>36</v>
      </c>
      <c r="F41" s="3" t="s">
        <v>23</v>
      </c>
      <c r="G41" s="3" t="s">
        <v>24</v>
      </c>
      <c r="H41" s="3" t="s">
        <v>78</v>
      </c>
      <c r="I41" s="5">
        <v>25654</v>
      </c>
      <c r="J41" s="5">
        <v>11954.69</v>
      </c>
      <c r="K41" s="5">
        <v>5084.7700000000004</v>
      </c>
      <c r="L41" s="5">
        <f t="shared" si="5"/>
        <v>13699.31</v>
      </c>
      <c r="M41" s="5">
        <f t="shared" si="6"/>
        <v>8614.5399999999991</v>
      </c>
      <c r="N41" s="6">
        <f t="shared" si="7"/>
        <v>0.33579714664379823</v>
      </c>
      <c r="O41" s="4">
        <v>127</v>
      </c>
      <c r="P41" s="5">
        <v>25384.54</v>
      </c>
      <c r="Q41" s="5">
        <f t="shared" si="8"/>
        <v>25654</v>
      </c>
      <c r="R41" s="7">
        <f t="shared" si="9"/>
        <v>269.45999999999913</v>
      </c>
      <c r="S41" s="3" t="s">
        <v>32</v>
      </c>
      <c r="T41" s="3" t="s">
        <v>33</v>
      </c>
    </row>
    <row r="42" spans="1:20" x14ac:dyDescent="0.3">
      <c r="A42" s="14">
        <v>45553</v>
      </c>
      <c r="B42" s="3" t="s">
        <v>51</v>
      </c>
      <c r="C42" s="4" t="s">
        <v>35</v>
      </c>
      <c r="D42" s="4">
        <v>2024</v>
      </c>
      <c r="E42" s="3" t="s">
        <v>48</v>
      </c>
      <c r="F42" s="3" t="s">
        <v>53</v>
      </c>
      <c r="G42" s="3" t="s">
        <v>38</v>
      </c>
      <c r="H42" s="3" t="s">
        <v>80</v>
      </c>
      <c r="I42" s="5">
        <v>85969.74</v>
      </c>
      <c r="J42" s="5">
        <v>40736.949999999997</v>
      </c>
      <c r="K42" s="5">
        <v>9801.24</v>
      </c>
      <c r="L42" s="5">
        <f t="shared" si="5"/>
        <v>45232.790000000008</v>
      </c>
      <c r="M42" s="5">
        <f t="shared" si="6"/>
        <v>35431.55000000001</v>
      </c>
      <c r="N42" s="6">
        <f t="shared" si="7"/>
        <v>0.41213978313764832</v>
      </c>
      <c r="O42" s="4">
        <v>283</v>
      </c>
      <c r="P42" s="5">
        <v>97627.23</v>
      </c>
      <c r="Q42" s="5">
        <f t="shared" si="8"/>
        <v>85969.74</v>
      </c>
      <c r="R42" s="7">
        <f t="shared" si="9"/>
        <v>-11657.489999999991</v>
      </c>
      <c r="S42" s="3" t="s">
        <v>64</v>
      </c>
      <c r="T42" s="3" t="s">
        <v>60</v>
      </c>
    </row>
    <row r="43" spans="1:20" x14ac:dyDescent="0.3">
      <c r="A43" s="14">
        <v>45407</v>
      </c>
      <c r="B43" s="3" t="s">
        <v>66</v>
      </c>
      <c r="C43" s="4" t="s">
        <v>67</v>
      </c>
      <c r="D43" s="4">
        <v>2024</v>
      </c>
      <c r="E43" s="3" t="s">
        <v>52</v>
      </c>
      <c r="F43" s="3" t="s">
        <v>53</v>
      </c>
      <c r="G43" s="3" t="s">
        <v>38</v>
      </c>
      <c r="H43" s="3" t="s">
        <v>63</v>
      </c>
      <c r="I43" s="5">
        <v>64236.45</v>
      </c>
      <c r="J43" s="5">
        <v>30335.97</v>
      </c>
      <c r="K43" s="5">
        <v>13828.4</v>
      </c>
      <c r="L43" s="5">
        <f t="shared" si="5"/>
        <v>33900.479999999996</v>
      </c>
      <c r="M43" s="5">
        <f t="shared" si="6"/>
        <v>20072.079999999994</v>
      </c>
      <c r="N43" s="6">
        <f t="shared" si="7"/>
        <v>0.31247181312167771</v>
      </c>
      <c r="O43" s="4">
        <v>145</v>
      </c>
      <c r="P43" s="5">
        <v>63377.279999999999</v>
      </c>
      <c r="Q43" s="5">
        <f t="shared" si="8"/>
        <v>64236.45</v>
      </c>
      <c r="R43" s="7">
        <f t="shared" si="9"/>
        <v>859.16999999999825</v>
      </c>
      <c r="S43" s="3" t="s">
        <v>26</v>
      </c>
      <c r="T43" s="3" t="s">
        <v>33</v>
      </c>
    </row>
    <row r="44" spans="1:20" x14ac:dyDescent="0.3">
      <c r="A44" s="14">
        <v>45648</v>
      </c>
      <c r="B44" s="3" t="s">
        <v>81</v>
      </c>
      <c r="C44" s="4" t="s">
        <v>21</v>
      </c>
      <c r="D44" s="4">
        <v>2024</v>
      </c>
      <c r="E44" s="3" t="s">
        <v>48</v>
      </c>
      <c r="F44" s="3" t="s">
        <v>55</v>
      </c>
      <c r="G44" s="3" t="s">
        <v>49</v>
      </c>
      <c r="H44" s="3" t="s">
        <v>82</v>
      </c>
      <c r="I44" s="5">
        <v>28537.05</v>
      </c>
      <c r="J44" s="5">
        <v>10019.61</v>
      </c>
      <c r="K44" s="5">
        <v>6068.25</v>
      </c>
      <c r="L44" s="5">
        <f t="shared" si="5"/>
        <v>18517.439999999999</v>
      </c>
      <c r="M44" s="5">
        <f t="shared" si="6"/>
        <v>12449.189999999999</v>
      </c>
      <c r="N44" s="6">
        <f t="shared" si="7"/>
        <v>0.43624656367774522</v>
      </c>
      <c r="O44" s="4">
        <v>95</v>
      </c>
      <c r="P44" s="5">
        <v>30848.95</v>
      </c>
      <c r="Q44" s="5">
        <f t="shared" si="8"/>
        <v>28537.05</v>
      </c>
      <c r="R44" s="7">
        <f t="shared" si="9"/>
        <v>-2311.9000000000015</v>
      </c>
      <c r="S44" s="3" t="s">
        <v>40</v>
      </c>
      <c r="T44" s="3" t="s">
        <v>27</v>
      </c>
    </row>
    <row r="45" spans="1:20" x14ac:dyDescent="0.3">
      <c r="A45" s="14">
        <v>45404</v>
      </c>
      <c r="B45" s="3" t="s">
        <v>66</v>
      </c>
      <c r="C45" s="4" t="s">
        <v>67</v>
      </c>
      <c r="D45" s="4">
        <v>2024</v>
      </c>
      <c r="E45" s="3" t="s">
        <v>52</v>
      </c>
      <c r="F45" s="3" t="s">
        <v>46</v>
      </c>
      <c r="G45" s="3" t="s">
        <v>49</v>
      </c>
      <c r="H45" s="3" t="s">
        <v>77</v>
      </c>
      <c r="I45" s="5">
        <v>37637</v>
      </c>
      <c r="J45" s="5">
        <v>19558.72</v>
      </c>
      <c r="K45" s="5">
        <v>6340.68</v>
      </c>
      <c r="L45" s="5">
        <f t="shared" si="5"/>
        <v>18078.28</v>
      </c>
      <c r="M45" s="5">
        <f t="shared" si="6"/>
        <v>11737.599999999999</v>
      </c>
      <c r="N45" s="6">
        <f t="shared" si="7"/>
        <v>0.3118633259824109</v>
      </c>
      <c r="O45" s="4">
        <v>305</v>
      </c>
      <c r="P45" s="5">
        <v>41040.32</v>
      </c>
      <c r="Q45" s="5">
        <f t="shared" si="8"/>
        <v>37637</v>
      </c>
      <c r="R45" s="7">
        <f t="shared" si="9"/>
        <v>-3403.3199999999997</v>
      </c>
      <c r="S45" s="3" t="s">
        <v>26</v>
      </c>
      <c r="T45" s="3" t="s">
        <v>60</v>
      </c>
    </row>
    <row r="46" spans="1:20" x14ac:dyDescent="0.3">
      <c r="A46" s="14">
        <v>45518</v>
      </c>
      <c r="B46" s="3" t="s">
        <v>34</v>
      </c>
      <c r="C46" s="4" t="s">
        <v>35</v>
      </c>
      <c r="D46" s="4">
        <v>2024</v>
      </c>
      <c r="E46" s="3" t="s">
        <v>36</v>
      </c>
      <c r="F46" s="3" t="s">
        <v>46</v>
      </c>
      <c r="G46" s="3" t="s">
        <v>49</v>
      </c>
      <c r="H46" s="3" t="s">
        <v>59</v>
      </c>
      <c r="I46" s="5">
        <v>100511.92</v>
      </c>
      <c r="J46" s="5">
        <v>50128.42</v>
      </c>
      <c r="K46" s="5">
        <v>17207.759999999998</v>
      </c>
      <c r="L46" s="5">
        <f t="shared" si="5"/>
        <v>50383.5</v>
      </c>
      <c r="M46" s="5">
        <f t="shared" si="6"/>
        <v>33175.740000000005</v>
      </c>
      <c r="N46" s="6">
        <f t="shared" si="7"/>
        <v>0.33006771734138601</v>
      </c>
      <c r="O46" s="4">
        <v>248</v>
      </c>
      <c r="P46" s="5">
        <v>93250.68</v>
      </c>
      <c r="Q46" s="5">
        <f t="shared" si="8"/>
        <v>100511.92</v>
      </c>
      <c r="R46" s="7">
        <f t="shared" si="9"/>
        <v>7261.2400000000052</v>
      </c>
      <c r="S46" s="3" t="s">
        <v>64</v>
      </c>
      <c r="T46" s="3" t="s">
        <v>60</v>
      </c>
    </row>
    <row r="47" spans="1:20" x14ac:dyDescent="0.3">
      <c r="A47" s="14">
        <v>45558</v>
      </c>
      <c r="B47" s="3" t="s">
        <v>51</v>
      </c>
      <c r="C47" s="4" t="s">
        <v>35</v>
      </c>
      <c r="D47" s="4">
        <v>2024</v>
      </c>
      <c r="E47" s="3" t="s">
        <v>48</v>
      </c>
      <c r="F47" s="3" t="s">
        <v>53</v>
      </c>
      <c r="G47" s="3" t="s">
        <v>24</v>
      </c>
      <c r="H47" s="3" t="s">
        <v>61</v>
      </c>
      <c r="I47" s="5">
        <v>19198.009999999998</v>
      </c>
      <c r="J47" s="5">
        <v>7619.67</v>
      </c>
      <c r="K47" s="5">
        <v>2886.94</v>
      </c>
      <c r="L47" s="5">
        <f t="shared" si="5"/>
        <v>11578.339999999998</v>
      </c>
      <c r="M47" s="5">
        <f t="shared" si="6"/>
        <v>8691.3999999999978</v>
      </c>
      <c r="N47" s="6">
        <f t="shared" si="7"/>
        <v>0.45272400629023524</v>
      </c>
      <c r="O47" s="4">
        <v>59</v>
      </c>
      <c r="P47" s="5">
        <v>21461.61</v>
      </c>
      <c r="Q47" s="5">
        <f t="shared" si="8"/>
        <v>19198.009999999998</v>
      </c>
      <c r="R47" s="7">
        <f t="shared" si="9"/>
        <v>-2263.6000000000022</v>
      </c>
      <c r="S47" s="3" t="s">
        <v>40</v>
      </c>
      <c r="T47" s="3" t="s">
        <v>33</v>
      </c>
    </row>
    <row r="48" spans="1:20" x14ac:dyDescent="0.3">
      <c r="A48" s="14">
        <v>45369</v>
      </c>
      <c r="B48" s="3" t="s">
        <v>71</v>
      </c>
      <c r="C48" s="4" t="s">
        <v>29</v>
      </c>
      <c r="D48" s="4">
        <v>2024</v>
      </c>
      <c r="E48" s="3" t="s">
        <v>52</v>
      </c>
      <c r="F48" s="3" t="s">
        <v>55</v>
      </c>
      <c r="G48" s="3" t="s">
        <v>30</v>
      </c>
      <c r="H48" s="3" t="s">
        <v>31</v>
      </c>
      <c r="I48" s="5">
        <v>10164.44</v>
      </c>
      <c r="J48" s="5">
        <v>4230.2</v>
      </c>
      <c r="K48" s="5">
        <v>1726.82</v>
      </c>
      <c r="L48" s="5">
        <f t="shared" si="5"/>
        <v>5934.2400000000007</v>
      </c>
      <c r="M48" s="5">
        <f t="shared" si="6"/>
        <v>4207.420000000001</v>
      </c>
      <c r="N48" s="6">
        <f t="shared" si="7"/>
        <v>0.41393524876923871</v>
      </c>
      <c r="O48" s="4">
        <v>52</v>
      </c>
      <c r="P48" s="5">
        <v>8829.64</v>
      </c>
      <c r="Q48" s="5">
        <f t="shared" si="8"/>
        <v>10164.44</v>
      </c>
      <c r="R48" s="7">
        <f t="shared" si="9"/>
        <v>1334.8000000000011</v>
      </c>
      <c r="S48" s="3" t="s">
        <v>32</v>
      </c>
      <c r="T48" s="3" t="s">
        <v>27</v>
      </c>
    </row>
    <row r="49" spans="1:20" x14ac:dyDescent="0.3">
      <c r="A49" s="14">
        <v>45591</v>
      </c>
      <c r="B49" s="3" t="s">
        <v>44</v>
      </c>
      <c r="C49" s="4" t="s">
        <v>21</v>
      </c>
      <c r="D49" s="4">
        <v>2024</v>
      </c>
      <c r="E49" s="3" t="s">
        <v>22</v>
      </c>
      <c r="F49" s="3" t="s">
        <v>46</v>
      </c>
      <c r="G49" s="3" t="s">
        <v>49</v>
      </c>
      <c r="H49" s="3" t="s">
        <v>54</v>
      </c>
      <c r="I49" s="5">
        <v>9777.07</v>
      </c>
      <c r="J49" s="5">
        <v>4005.89</v>
      </c>
      <c r="K49" s="5">
        <v>1549.65</v>
      </c>
      <c r="L49" s="5">
        <f t="shared" si="5"/>
        <v>5771.18</v>
      </c>
      <c r="M49" s="5">
        <f t="shared" si="6"/>
        <v>4221.5300000000007</v>
      </c>
      <c r="N49" s="6">
        <f t="shared" si="7"/>
        <v>0.43177864124937232</v>
      </c>
      <c r="O49" s="4">
        <v>23</v>
      </c>
      <c r="P49" s="5">
        <v>10925.8</v>
      </c>
      <c r="Q49" s="5">
        <f t="shared" si="8"/>
        <v>9777.07</v>
      </c>
      <c r="R49" s="7">
        <f t="shared" si="9"/>
        <v>-1148.7299999999996</v>
      </c>
      <c r="S49" s="3" t="s">
        <v>32</v>
      </c>
      <c r="T49" s="3" t="s">
        <v>33</v>
      </c>
    </row>
    <row r="50" spans="1:20" x14ac:dyDescent="0.3">
      <c r="A50" s="14">
        <v>45541</v>
      </c>
      <c r="B50" s="3" t="s">
        <v>51</v>
      </c>
      <c r="C50" s="4" t="s">
        <v>35</v>
      </c>
      <c r="D50" s="4">
        <v>2024</v>
      </c>
      <c r="E50" s="3" t="s">
        <v>52</v>
      </c>
      <c r="F50" s="3" t="s">
        <v>37</v>
      </c>
      <c r="G50" s="3" t="s">
        <v>49</v>
      </c>
      <c r="H50" s="3" t="s">
        <v>54</v>
      </c>
      <c r="I50" s="5">
        <v>6261.1</v>
      </c>
      <c r="J50" s="5">
        <v>3028.96</v>
      </c>
      <c r="K50" s="5">
        <v>1375.7</v>
      </c>
      <c r="L50" s="5">
        <f t="shared" si="5"/>
        <v>3232.1400000000003</v>
      </c>
      <c r="M50" s="5">
        <f t="shared" si="6"/>
        <v>1856.4400000000003</v>
      </c>
      <c r="N50" s="6">
        <f t="shared" si="7"/>
        <v>0.29650380923479902</v>
      </c>
      <c r="O50" s="4">
        <v>34</v>
      </c>
      <c r="P50" s="5">
        <v>6682.19</v>
      </c>
      <c r="Q50" s="5">
        <f t="shared" si="8"/>
        <v>6261.1</v>
      </c>
      <c r="R50" s="7">
        <f t="shared" si="9"/>
        <v>-421.08999999999924</v>
      </c>
      <c r="S50" s="3" t="s">
        <v>32</v>
      </c>
      <c r="T50" s="3" t="s">
        <v>33</v>
      </c>
    </row>
    <row r="51" spans="1:20" x14ac:dyDescent="0.3">
      <c r="A51" s="14">
        <v>45610</v>
      </c>
      <c r="B51" s="3" t="s">
        <v>20</v>
      </c>
      <c r="C51" s="4" t="s">
        <v>21</v>
      </c>
      <c r="D51" s="4">
        <v>2024</v>
      </c>
      <c r="E51" s="3" t="s">
        <v>36</v>
      </c>
      <c r="F51" s="3" t="s">
        <v>23</v>
      </c>
      <c r="G51" s="3" t="s">
        <v>49</v>
      </c>
      <c r="H51" s="3" t="s">
        <v>59</v>
      </c>
      <c r="I51" s="5">
        <v>93447.2</v>
      </c>
      <c r="J51" s="5">
        <v>34275.449999999997</v>
      </c>
      <c r="K51" s="5">
        <v>15352.62</v>
      </c>
      <c r="L51" s="5">
        <f t="shared" si="5"/>
        <v>59171.75</v>
      </c>
      <c r="M51" s="5">
        <f t="shared" si="6"/>
        <v>43819.13</v>
      </c>
      <c r="N51" s="6">
        <f t="shared" si="7"/>
        <v>0.46891859788201251</v>
      </c>
      <c r="O51" s="4">
        <v>308</v>
      </c>
      <c r="P51" s="5">
        <v>103731.57</v>
      </c>
      <c r="Q51" s="5">
        <f t="shared" si="8"/>
        <v>93447.2</v>
      </c>
      <c r="R51" s="7">
        <f t="shared" si="9"/>
        <v>-10284.37000000001</v>
      </c>
      <c r="S51" s="3" t="s">
        <v>64</v>
      </c>
      <c r="T51" s="3" t="s">
        <v>41</v>
      </c>
    </row>
    <row r="52" spans="1:20" x14ac:dyDescent="0.3">
      <c r="A52" s="14">
        <v>45425</v>
      </c>
      <c r="B52" s="3" t="s">
        <v>74</v>
      </c>
      <c r="C52" s="4" t="s">
        <v>67</v>
      </c>
      <c r="D52" s="4">
        <v>2024</v>
      </c>
      <c r="E52" s="3" t="s">
        <v>48</v>
      </c>
      <c r="F52" s="3" t="s">
        <v>37</v>
      </c>
      <c r="G52" s="3" t="s">
        <v>30</v>
      </c>
      <c r="H52" s="3" t="s">
        <v>83</v>
      </c>
      <c r="I52" s="5">
        <v>30258.47</v>
      </c>
      <c r="J52" s="5">
        <v>15913.78</v>
      </c>
      <c r="K52" s="5">
        <v>4288.79</v>
      </c>
      <c r="L52" s="5">
        <f t="shared" si="5"/>
        <v>14344.69</v>
      </c>
      <c r="M52" s="5">
        <f t="shared" si="6"/>
        <v>10055.900000000001</v>
      </c>
      <c r="N52" s="6">
        <f t="shared" si="7"/>
        <v>0.33233339293097108</v>
      </c>
      <c r="O52" s="4">
        <v>187</v>
      </c>
      <c r="P52" s="5">
        <v>34354.29</v>
      </c>
      <c r="Q52" s="5">
        <f t="shared" si="8"/>
        <v>30258.47</v>
      </c>
      <c r="R52" s="7">
        <f t="shared" si="9"/>
        <v>-4095.8199999999997</v>
      </c>
      <c r="S52" s="3" t="s">
        <v>32</v>
      </c>
      <c r="T52" s="3" t="s">
        <v>60</v>
      </c>
    </row>
    <row r="53" spans="1:20" x14ac:dyDescent="0.3">
      <c r="A53" s="14">
        <v>45333</v>
      </c>
      <c r="B53" s="3" t="s">
        <v>47</v>
      </c>
      <c r="C53" s="4" t="s">
        <v>29</v>
      </c>
      <c r="D53" s="4">
        <v>2024</v>
      </c>
      <c r="E53" s="3" t="s">
        <v>48</v>
      </c>
      <c r="F53" s="3" t="s">
        <v>23</v>
      </c>
      <c r="G53" s="3" t="s">
        <v>57</v>
      </c>
      <c r="H53" s="3" t="s">
        <v>70</v>
      </c>
      <c r="I53" s="5">
        <v>22395.46</v>
      </c>
      <c r="J53" s="5">
        <v>8145.76</v>
      </c>
      <c r="K53" s="5">
        <v>5455.37</v>
      </c>
      <c r="L53" s="5">
        <f t="shared" si="5"/>
        <v>14249.699999999999</v>
      </c>
      <c r="M53" s="5">
        <f t="shared" si="6"/>
        <v>8794.3299999999981</v>
      </c>
      <c r="N53" s="6">
        <f t="shared" si="7"/>
        <v>0.39268360640951328</v>
      </c>
      <c r="O53" s="4">
        <v>199</v>
      </c>
      <c r="P53" s="5">
        <v>19306.62</v>
      </c>
      <c r="Q53" s="5">
        <f t="shared" si="8"/>
        <v>22395.46</v>
      </c>
      <c r="R53" s="7">
        <f t="shared" si="9"/>
        <v>3088.84</v>
      </c>
      <c r="S53" s="3" t="s">
        <v>40</v>
      </c>
      <c r="T53" s="3" t="s">
        <v>33</v>
      </c>
    </row>
    <row r="54" spans="1:20" x14ac:dyDescent="0.3">
      <c r="A54" s="14">
        <v>45394</v>
      </c>
      <c r="B54" s="3" t="s">
        <v>66</v>
      </c>
      <c r="C54" s="4" t="s">
        <v>67</v>
      </c>
      <c r="D54" s="4">
        <v>2024</v>
      </c>
      <c r="E54" s="3" t="s">
        <v>22</v>
      </c>
      <c r="F54" s="3" t="s">
        <v>46</v>
      </c>
      <c r="G54" s="3" t="s">
        <v>30</v>
      </c>
      <c r="H54" s="3" t="s">
        <v>31</v>
      </c>
      <c r="I54" s="5">
        <v>18564</v>
      </c>
      <c r="J54" s="5">
        <v>6922.11</v>
      </c>
      <c r="K54" s="5">
        <v>4495.5200000000004</v>
      </c>
      <c r="L54" s="5">
        <f t="shared" si="5"/>
        <v>11641.89</v>
      </c>
      <c r="M54" s="5">
        <f t="shared" si="6"/>
        <v>7146.369999999999</v>
      </c>
      <c r="N54" s="6">
        <f t="shared" si="7"/>
        <v>0.38495852187028651</v>
      </c>
      <c r="O54" s="4">
        <v>84</v>
      </c>
      <c r="P54" s="5">
        <v>18369.27</v>
      </c>
      <c r="Q54" s="5">
        <f t="shared" si="8"/>
        <v>18564</v>
      </c>
      <c r="R54" s="7">
        <f t="shared" si="9"/>
        <v>194.72999999999956</v>
      </c>
      <c r="S54" s="3" t="s">
        <v>73</v>
      </c>
      <c r="T54" s="3" t="s">
        <v>60</v>
      </c>
    </row>
    <row r="55" spans="1:20" x14ac:dyDescent="0.3">
      <c r="A55" s="14">
        <v>45377</v>
      </c>
      <c r="B55" s="3" t="s">
        <v>71</v>
      </c>
      <c r="C55" s="4" t="s">
        <v>29</v>
      </c>
      <c r="D55" s="4">
        <v>2024</v>
      </c>
      <c r="E55" s="3" t="s">
        <v>36</v>
      </c>
      <c r="F55" s="3" t="s">
        <v>46</v>
      </c>
      <c r="G55" s="3" t="s">
        <v>38</v>
      </c>
      <c r="H55" s="3" t="s">
        <v>39</v>
      </c>
      <c r="I55" s="5">
        <v>11101.58</v>
      </c>
      <c r="J55" s="5">
        <v>3942.57</v>
      </c>
      <c r="K55" s="5">
        <v>1629.64</v>
      </c>
      <c r="L55" s="5">
        <f t="shared" si="5"/>
        <v>7159.01</v>
      </c>
      <c r="M55" s="5">
        <f t="shared" si="6"/>
        <v>5529.37</v>
      </c>
      <c r="N55" s="6">
        <f t="shared" si="7"/>
        <v>0.49807054491342673</v>
      </c>
      <c r="O55" s="4">
        <v>179</v>
      </c>
      <c r="P55" s="5">
        <v>11692.23</v>
      </c>
      <c r="Q55" s="5">
        <f t="shared" si="8"/>
        <v>11101.58</v>
      </c>
      <c r="R55" s="7">
        <f t="shared" si="9"/>
        <v>-590.64999999999964</v>
      </c>
      <c r="S55" s="3" t="s">
        <v>32</v>
      </c>
      <c r="T55" s="3" t="s">
        <v>27</v>
      </c>
    </row>
    <row r="56" spans="1:20" x14ac:dyDescent="0.3">
      <c r="A56" s="14">
        <v>45393</v>
      </c>
      <c r="B56" s="3" t="s">
        <v>66</v>
      </c>
      <c r="C56" s="4" t="s">
        <v>67</v>
      </c>
      <c r="D56" s="4">
        <v>2024</v>
      </c>
      <c r="E56" s="3" t="s">
        <v>22</v>
      </c>
      <c r="F56" s="3" t="s">
        <v>46</v>
      </c>
      <c r="G56" s="3" t="s">
        <v>30</v>
      </c>
      <c r="H56" s="3" t="s">
        <v>72</v>
      </c>
      <c r="I56" s="5">
        <v>131987.28</v>
      </c>
      <c r="J56" s="5">
        <v>68641.13</v>
      </c>
      <c r="K56" s="5">
        <v>25085.73</v>
      </c>
      <c r="L56" s="5">
        <f t="shared" si="5"/>
        <v>63346.149999999994</v>
      </c>
      <c r="M56" s="5">
        <f t="shared" si="6"/>
        <v>38260.42</v>
      </c>
      <c r="N56" s="6">
        <f t="shared" si="7"/>
        <v>0.28987960051908029</v>
      </c>
      <c r="O56" s="4">
        <v>376</v>
      </c>
      <c r="P56" s="5">
        <v>116982.51</v>
      </c>
      <c r="Q56" s="5">
        <f t="shared" si="8"/>
        <v>131987.28</v>
      </c>
      <c r="R56" s="7">
        <f t="shared" si="9"/>
        <v>15004.770000000004</v>
      </c>
      <c r="S56" s="3" t="s">
        <v>26</v>
      </c>
      <c r="T56" s="3" t="s">
        <v>41</v>
      </c>
    </row>
    <row r="57" spans="1:20" x14ac:dyDescent="0.3">
      <c r="A57" s="14">
        <v>45469</v>
      </c>
      <c r="B57" s="3" t="s">
        <v>68</v>
      </c>
      <c r="C57" s="4" t="s">
        <v>67</v>
      </c>
      <c r="D57" s="4">
        <v>2024</v>
      </c>
      <c r="E57" s="3" t="s">
        <v>36</v>
      </c>
      <c r="F57" s="3" t="s">
        <v>55</v>
      </c>
      <c r="G57" s="3" t="s">
        <v>24</v>
      </c>
      <c r="H57" s="3" t="s">
        <v>56</v>
      </c>
      <c r="I57" s="5">
        <v>82773.72</v>
      </c>
      <c r="J57" s="5">
        <v>29180.26</v>
      </c>
      <c r="K57" s="5">
        <v>13492.85</v>
      </c>
      <c r="L57" s="5">
        <f t="shared" si="5"/>
        <v>53593.460000000006</v>
      </c>
      <c r="M57" s="5">
        <f t="shared" si="6"/>
        <v>40100.610000000008</v>
      </c>
      <c r="N57" s="6">
        <f t="shared" si="7"/>
        <v>0.48446064765483549</v>
      </c>
      <c r="O57" s="4">
        <v>279</v>
      </c>
      <c r="P57" s="5">
        <v>82530.41</v>
      </c>
      <c r="Q57" s="5">
        <f t="shared" si="8"/>
        <v>82773.72</v>
      </c>
      <c r="R57" s="7">
        <f t="shared" si="9"/>
        <v>243.30999999999767</v>
      </c>
      <c r="S57" s="3" t="s">
        <v>32</v>
      </c>
      <c r="T57" s="3" t="s">
        <v>60</v>
      </c>
    </row>
    <row r="58" spans="1:20" x14ac:dyDescent="0.3">
      <c r="A58" s="14">
        <v>45617</v>
      </c>
      <c r="B58" s="3" t="s">
        <v>20</v>
      </c>
      <c r="C58" s="4" t="s">
        <v>21</v>
      </c>
      <c r="D58" s="4">
        <v>2024</v>
      </c>
      <c r="E58" s="3" t="s">
        <v>48</v>
      </c>
      <c r="F58" s="3" t="s">
        <v>53</v>
      </c>
      <c r="G58" s="3" t="s">
        <v>49</v>
      </c>
      <c r="H58" s="3" t="s">
        <v>82</v>
      </c>
      <c r="I58" s="5">
        <v>95574.2</v>
      </c>
      <c r="J58" s="5">
        <v>45884.36</v>
      </c>
      <c r="K58" s="5">
        <v>18387.22</v>
      </c>
      <c r="L58" s="5">
        <f t="shared" si="5"/>
        <v>49689.84</v>
      </c>
      <c r="M58" s="5">
        <f t="shared" si="6"/>
        <v>31302.619999999995</v>
      </c>
      <c r="N58" s="6">
        <f t="shared" si="7"/>
        <v>0.3275216533332217</v>
      </c>
      <c r="O58" s="4">
        <v>395</v>
      </c>
      <c r="P58" s="5">
        <v>107605.59</v>
      </c>
      <c r="Q58" s="5">
        <f t="shared" si="8"/>
        <v>95574.2</v>
      </c>
      <c r="R58" s="7">
        <f t="shared" si="9"/>
        <v>-12031.39</v>
      </c>
      <c r="S58" s="3" t="s">
        <v>32</v>
      </c>
      <c r="T58" s="3" t="s">
        <v>27</v>
      </c>
    </row>
    <row r="59" spans="1:20" x14ac:dyDescent="0.3">
      <c r="A59" s="14">
        <v>45515</v>
      </c>
      <c r="B59" s="3" t="s">
        <v>34</v>
      </c>
      <c r="C59" s="4" t="s">
        <v>35</v>
      </c>
      <c r="D59" s="4">
        <v>2024</v>
      </c>
      <c r="E59" s="3" t="s">
        <v>36</v>
      </c>
      <c r="F59" s="3" t="s">
        <v>37</v>
      </c>
      <c r="G59" s="3" t="s">
        <v>24</v>
      </c>
      <c r="H59" s="3" t="s">
        <v>25</v>
      </c>
      <c r="I59" s="5">
        <v>187594.2</v>
      </c>
      <c r="J59" s="5">
        <v>76123.03</v>
      </c>
      <c r="K59" s="5">
        <v>31444.6</v>
      </c>
      <c r="L59" s="5">
        <f t="shared" si="5"/>
        <v>111471.17000000001</v>
      </c>
      <c r="M59" s="5">
        <f t="shared" si="6"/>
        <v>80026.570000000007</v>
      </c>
      <c r="N59" s="6">
        <f t="shared" si="7"/>
        <v>0.42659405248136673</v>
      </c>
      <c r="O59" s="4">
        <v>445</v>
      </c>
      <c r="P59" s="5">
        <v>201690.57</v>
      </c>
      <c r="Q59" s="5">
        <f t="shared" si="8"/>
        <v>187594.2</v>
      </c>
      <c r="R59" s="7">
        <f t="shared" si="9"/>
        <v>-14096.369999999995</v>
      </c>
      <c r="S59" s="3" t="s">
        <v>26</v>
      </c>
      <c r="T59" s="3" t="s">
        <v>27</v>
      </c>
    </row>
    <row r="60" spans="1:20" x14ac:dyDescent="0.3">
      <c r="A60" s="14">
        <v>45464</v>
      </c>
      <c r="B60" s="3" t="s">
        <v>68</v>
      </c>
      <c r="C60" s="4" t="s">
        <v>67</v>
      </c>
      <c r="D60" s="4">
        <v>2024</v>
      </c>
      <c r="E60" s="3" t="s">
        <v>22</v>
      </c>
      <c r="F60" s="3" t="s">
        <v>55</v>
      </c>
      <c r="G60" s="3" t="s">
        <v>24</v>
      </c>
      <c r="H60" s="3" t="s">
        <v>25</v>
      </c>
      <c r="I60" s="5">
        <v>28855.63</v>
      </c>
      <c r="J60" s="5">
        <v>14703.86</v>
      </c>
      <c r="K60" s="5">
        <v>4358.67</v>
      </c>
      <c r="L60" s="5">
        <f t="shared" si="5"/>
        <v>14151.77</v>
      </c>
      <c r="M60" s="5">
        <f t="shared" si="6"/>
        <v>9793.1</v>
      </c>
      <c r="N60" s="6">
        <f t="shared" si="7"/>
        <v>0.33938264387227035</v>
      </c>
      <c r="O60" s="4">
        <v>269</v>
      </c>
      <c r="P60" s="5">
        <v>32147.94</v>
      </c>
      <c r="Q60" s="5">
        <f t="shared" si="8"/>
        <v>28855.63</v>
      </c>
      <c r="R60" s="7">
        <f t="shared" si="9"/>
        <v>-3292.3099999999977</v>
      </c>
      <c r="S60" s="3" t="s">
        <v>73</v>
      </c>
      <c r="T60" s="3" t="s">
        <v>41</v>
      </c>
    </row>
    <row r="61" spans="1:20" x14ac:dyDescent="0.3">
      <c r="A61" s="14">
        <v>45556</v>
      </c>
      <c r="B61" s="3" t="s">
        <v>51</v>
      </c>
      <c r="C61" s="4" t="s">
        <v>35</v>
      </c>
      <c r="D61" s="4">
        <v>2024</v>
      </c>
      <c r="E61" s="3" t="s">
        <v>52</v>
      </c>
      <c r="F61" s="3" t="s">
        <v>23</v>
      </c>
      <c r="G61" s="3" t="s">
        <v>30</v>
      </c>
      <c r="H61" s="3" t="s">
        <v>83</v>
      </c>
      <c r="I61" s="5">
        <v>69255</v>
      </c>
      <c r="J61" s="5">
        <v>27567.98</v>
      </c>
      <c r="K61" s="5">
        <v>11871.27</v>
      </c>
      <c r="L61" s="5">
        <f t="shared" si="5"/>
        <v>41687.020000000004</v>
      </c>
      <c r="M61" s="5">
        <f t="shared" si="6"/>
        <v>29815.750000000004</v>
      </c>
      <c r="N61" s="6">
        <f t="shared" si="7"/>
        <v>0.43052126200274354</v>
      </c>
      <c r="O61" s="4">
        <v>270</v>
      </c>
      <c r="P61" s="5">
        <v>73656.34</v>
      </c>
      <c r="Q61" s="5">
        <f t="shared" si="8"/>
        <v>69255</v>
      </c>
      <c r="R61" s="7">
        <f t="shared" si="9"/>
        <v>-4401.3399999999965</v>
      </c>
      <c r="S61" s="3" t="s">
        <v>32</v>
      </c>
      <c r="T61" s="3" t="s">
        <v>41</v>
      </c>
    </row>
    <row r="62" spans="1:20" x14ac:dyDescent="0.3">
      <c r="A62" s="14">
        <v>45339</v>
      </c>
      <c r="B62" s="3" t="s">
        <v>47</v>
      </c>
      <c r="C62" s="4" t="s">
        <v>29</v>
      </c>
      <c r="D62" s="4">
        <v>2024</v>
      </c>
      <c r="E62" s="3" t="s">
        <v>45</v>
      </c>
      <c r="F62" s="3" t="s">
        <v>53</v>
      </c>
      <c r="G62" s="3" t="s">
        <v>49</v>
      </c>
      <c r="H62" s="3" t="s">
        <v>82</v>
      </c>
      <c r="I62" s="5">
        <v>53472.32</v>
      </c>
      <c r="J62" s="5">
        <v>22661.79</v>
      </c>
      <c r="K62" s="5">
        <v>9786.5499999999993</v>
      </c>
      <c r="L62" s="5">
        <f t="shared" si="5"/>
        <v>30810.53</v>
      </c>
      <c r="M62" s="5">
        <f t="shared" si="6"/>
        <v>21023.98</v>
      </c>
      <c r="N62" s="6">
        <f t="shared" si="7"/>
        <v>0.39317501092153845</v>
      </c>
      <c r="O62" s="4">
        <v>176</v>
      </c>
      <c r="P62" s="5">
        <v>50965.919999999998</v>
      </c>
      <c r="Q62" s="5">
        <f t="shared" si="8"/>
        <v>53472.32</v>
      </c>
      <c r="R62" s="7">
        <f t="shared" si="9"/>
        <v>2506.4000000000015</v>
      </c>
      <c r="S62" s="3" t="s">
        <v>26</v>
      </c>
      <c r="T62" s="3" t="s">
        <v>60</v>
      </c>
    </row>
    <row r="63" spans="1:20" x14ac:dyDescent="0.3">
      <c r="A63" s="14">
        <v>45472</v>
      </c>
      <c r="B63" s="3" t="s">
        <v>68</v>
      </c>
      <c r="C63" s="4" t="s">
        <v>67</v>
      </c>
      <c r="D63" s="4">
        <v>2024</v>
      </c>
      <c r="E63" s="3" t="s">
        <v>48</v>
      </c>
      <c r="F63" s="3" t="s">
        <v>37</v>
      </c>
      <c r="G63" s="3" t="s">
        <v>24</v>
      </c>
      <c r="H63" s="3" t="s">
        <v>78</v>
      </c>
      <c r="I63" s="5">
        <v>9313.6200000000008</v>
      </c>
      <c r="J63" s="5">
        <v>3618.5</v>
      </c>
      <c r="K63" s="5">
        <v>1098.3900000000001</v>
      </c>
      <c r="L63" s="5">
        <f t="shared" si="5"/>
        <v>5695.1200000000008</v>
      </c>
      <c r="M63" s="5">
        <f t="shared" si="6"/>
        <v>4596.7300000000005</v>
      </c>
      <c r="N63" s="6">
        <f t="shared" si="7"/>
        <v>0.49354923219972469</v>
      </c>
      <c r="O63" s="4">
        <v>138</v>
      </c>
      <c r="P63" s="5">
        <v>9413.83</v>
      </c>
      <c r="Q63" s="5">
        <f t="shared" si="8"/>
        <v>9313.6200000000008</v>
      </c>
      <c r="R63" s="7">
        <f t="shared" si="9"/>
        <v>-100.20999999999913</v>
      </c>
      <c r="S63" s="3" t="s">
        <v>64</v>
      </c>
      <c r="T63" s="3" t="s">
        <v>33</v>
      </c>
    </row>
    <row r="64" spans="1:20" x14ac:dyDescent="0.3">
      <c r="A64" s="14">
        <v>45402</v>
      </c>
      <c r="B64" s="3" t="s">
        <v>66</v>
      </c>
      <c r="C64" s="4" t="s">
        <v>67</v>
      </c>
      <c r="D64" s="4">
        <v>2024</v>
      </c>
      <c r="E64" s="3" t="s">
        <v>48</v>
      </c>
      <c r="F64" s="3" t="s">
        <v>37</v>
      </c>
      <c r="G64" s="3" t="s">
        <v>57</v>
      </c>
      <c r="H64" s="3" t="s">
        <v>62</v>
      </c>
      <c r="I64" s="5">
        <v>44882.5</v>
      </c>
      <c r="J64" s="5">
        <v>16611.25</v>
      </c>
      <c r="K64" s="5">
        <v>5795.12</v>
      </c>
      <c r="L64" s="5">
        <f t="shared" si="5"/>
        <v>28271.25</v>
      </c>
      <c r="M64" s="5">
        <f t="shared" si="6"/>
        <v>22476.13</v>
      </c>
      <c r="N64" s="6">
        <f t="shared" si="7"/>
        <v>0.50077714031081155</v>
      </c>
      <c r="O64" s="4">
        <v>325</v>
      </c>
      <c r="P64" s="5">
        <v>41213.129999999997</v>
      </c>
      <c r="Q64" s="5">
        <f t="shared" si="8"/>
        <v>44882.5</v>
      </c>
      <c r="R64" s="7">
        <f t="shared" si="9"/>
        <v>3669.3700000000026</v>
      </c>
      <c r="S64" s="3" t="s">
        <v>64</v>
      </c>
      <c r="T64" s="3" t="s">
        <v>60</v>
      </c>
    </row>
    <row r="65" spans="1:20" x14ac:dyDescent="0.3">
      <c r="A65" s="14">
        <v>45299</v>
      </c>
      <c r="B65" s="3" t="s">
        <v>28</v>
      </c>
      <c r="C65" s="4" t="s">
        <v>29</v>
      </c>
      <c r="D65" s="4">
        <v>2024</v>
      </c>
      <c r="E65" s="3" t="s">
        <v>36</v>
      </c>
      <c r="F65" s="3" t="s">
        <v>53</v>
      </c>
      <c r="G65" s="3" t="s">
        <v>24</v>
      </c>
      <c r="H65" s="3" t="s">
        <v>56</v>
      </c>
      <c r="I65" s="5">
        <v>12018.37</v>
      </c>
      <c r="J65" s="5">
        <v>5882.79</v>
      </c>
      <c r="K65" s="5">
        <v>1429.49</v>
      </c>
      <c r="L65" s="5">
        <f t="shared" si="5"/>
        <v>6135.5800000000008</v>
      </c>
      <c r="M65" s="5">
        <f t="shared" si="6"/>
        <v>4706.0900000000011</v>
      </c>
      <c r="N65" s="6">
        <f t="shared" si="7"/>
        <v>0.39157473101593648</v>
      </c>
      <c r="O65" s="4">
        <v>47</v>
      </c>
      <c r="P65" s="5">
        <v>13346.86</v>
      </c>
      <c r="Q65" s="5">
        <f t="shared" si="8"/>
        <v>12018.37</v>
      </c>
      <c r="R65" s="7">
        <f t="shared" si="9"/>
        <v>-1328.4899999999998</v>
      </c>
      <c r="S65" s="3" t="s">
        <v>32</v>
      </c>
      <c r="T65" s="3" t="s">
        <v>41</v>
      </c>
    </row>
    <row r="66" spans="1:20" x14ac:dyDescent="0.3">
      <c r="A66" s="14">
        <v>45298</v>
      </c>
      <c r="B66" s="3" t="s">
        <v>28</v>
      </c>
      <c r="C66" s="4" t="s">
        <v>29</v>
      </c>
      <c r="D66" s="4">
        <v>2024</v>
      </c>
      <c r="E66" s="3" t="s">
        <v>36</v>
      </c>
      <c r="F66" s="3" t="s">
        <v>37</v>
      </c>
      <c r="G66" s="3" t="s">
        <v>49</v>
      </c>
      <c r="H66" s="3" t="s">
        <v>54</v>
      </c>
      <c r="I66" s="5">
        <v>39986.449999999997</v>
      </c>
      <c r="J66" s="5">
        <v>21716.62</v>
      </c>
      <c r="K66" s="5">
        <v>5513</v>
      </c>
      <c r="L66" s="5">
        <f t="shared" ref="L66:L97" si="10">I66-J66</f>
        <v>18269.829999999998</v>
      </c>
      <c r="M66" s="5">
        <f t="shared" ref="M66:M97" si="11">L66-K66</f>
        <v>12756.829999999998</v>
      </c>
      <c r="N66" s="6">
        <f t="shared" ref="N66:N97" si="12">IFERROR(M66/I66,0)</f>
        <v>0.31902882101311819</v>
      </c>
      <c r="O66" s="4">
        <v>245</v>
      </c>
      <c r="P66" s="5">
        <v>44325.66</v>
      </c>
      <c r="Q66" s="5">
        <f t="shared" ref="Q66:Q97" si="13">I66</f>
        <v>39986.449999999997</v>
      </c>
      <c r="R66" s="7">
        <f t="shared" ref="R66:R97" si="14">Q66-P66</f>
        <v>-4339.2100000000064</v>
      </c>
      <c r="S66" s="3" t="s">
        <v>40</v>
      </c>
      <c r="T66" s="3" t="s">
        <v>41</v>
      </c>
    </row>
    <row r="67" spans="1:20" x14ac:dyDescent="0.3">
      <c r="A67" s="14">
        <v>45497</v>
      </c>
      <c r="B67" s="3" t="s">
        <v>42</v>
      </c>
      <c r="C67" s="4" t="s">
        <v>35</v>
      </c>
      <c r="D67" s="4">
        <v>2024</v>
      </c>
      <c r="E67" s="3" t="s">
        <v>48</v>
      </c>
      <c r="F67" s="3" t="s">
        <v>23</v>
      </c>
      <c r="G67" s="3" t="s">
        <v>57</v>
      </c>
      <c r="H67" s="3" t="s">
        <v>70</v>
      </c>
      <c r="I67" s="5">
        <v>7750.3</v>
      </c>
      <c r="J67" s="5">
        <v>3585.04</v>
      </c>
      <c r="K67" s="5">
        <v>1128.25</v>
      </c>
      <c r="L67" s="5">
        <f t="shared" si="10"/>
        <v>4165.26</v>
      </c>
      <c r="M67" s="5">
        <f t="shared" si="11"/>
        <v>3037.01</v>
      </c>
      <c r="N67" s="6">
        <f t="shared" si="12"/>
        <v>0.39185708940299085</v>
      </c>
      <c r="O67" s="4">
        <v>97</v>
      </c>
      <c r="P67" s="5">
        <v>8898.7000000000007</v>
      </c>
      <c r="Q67" s="5">
        <f t="shared" si="13"/>
        <v>7750.3</v>
      </c>
      <c r="R67" s="7">
        <f t="shared" si="14"/>
        <v>-1148.4000000000005</v>
      </c>
      <c r="S67" s="3" t="s">
        <v>40</v>
      </c>
      <c r="T67" s="3" t="s">
        <v>27</v>
      </c>
    </row>
    <row r="68" spans="1:20" x14ac:dyDescent="0.3">
      <c r="A68" s="14">
        <v>45602</v>
      </c>
      <c r="B68" s="3" t="s">
        <v>20</v>
      </c>
      <c r="C68" s="4" t="s">
        <v>21</v>
      </c>
      <c r="D68" s="4">
        <v>2024</v>
      </c>
      <c r="E68" s="3" t="s">
        <v>36</v>
      </c>
      <c r="F68" s="3" t="s">
        <v>46</v>
      </c>
      <c r="G68" s="3" t="s">
        <v>30</v>
      </c>
      <c r="H68" s="3" t="s">
        <v>79</v>
      </c>
      <c r="I68" s="5">
        <v>45147.58</v>
      </c>
      <c r="J68" s="5">
        <v>19799.21</v>
      </c>
      <c r="K68" s="5">
        <v>10339.92</v>
      </c>
      <c r="L68" s="5">
        <f t="shared" si="10"/>
        <v>25348.370000000003</v>
      </c>
      <c r="M68" s="5">
        <f t="shared" si="11"/>
        <v>15008.450000000003</v>
      </c>
      <c r="N68" s="6">
        <f t="shared" si="12"/>
        <v>0.33243088555355571</v>
      </c>
      <c r="O68" s="4">
        <v>214</v>
      </c>
      <c r="P68" s="5">
        <v>51784.7</v>
      </c>
      <c r="Q68" s="5">
        <f t="shared" si="13"/>
        <v>45147.58</v>
      </c>
      <c r="R68" s="7">
        <f t="shared" si="14"/>
        <v>-6637.1199999999953</v>
      </c>
      <c r="S68" s="3" t="s">
        <v>73</v>
      </c>
      <c r="T68" s="3" t="s">
        <v>41</v>
      </c>
    </row>
    <row r="69" spans="1:20" x14ac:dyDescent="0.3">
      <c r="A69" s="14">
        <v>45604</v>
      </c>
      <c r="B69" s="3" t="s">
        <v>20</v>
      </c>
      <c r="C69" s="4" t="s">
        <v>21</v>
      </c>
      <c r="D69" s="4">
        <v>2024</v>
      </c>
      <c r="E69" s="3" t="s">
        <v>22</v>
      </c>
      <c r="F69" s="3" t="s">
        <v>53</v>
      </c>
      <c r="G69" s="3" t="s">
        <v>30</v>
      </c>
      <c r="H69" s="3" t="s">
        <v>76</v>
      </c>
      <c r="I69" s="5">
        <v>18014.560000000001</v>
      </c>
      <c r="J69" s="5">
        <v>7169.31</v>
      </c>
      <c r="K69" s="5">
        <v>3293.04</v>
      </c>
      <c r="L69" s="5">
        <f t="shared" si="10"/>
        <v>10845.25</v>
      </c>
      <c r="M69" s="5">
        <f t="shared" si="11"/>
        <v>7552.21</v>
      </c>
      <c r="N69" s="6">
        <f t="shared" si="12"/>
        <v>0.41922811325949672</v>
      </c>
      <c r="O69" s="4">
        <v>358</v>
      </c>
      <c r="P69" s="5">
        <v>16158.34</v>
      </c>
      <c r="Q69" s="5">
        <f t="shared" si="13"/>
        <v>18014.560000000001</v>
      </c>
      <c r="R69" s="7">
        <f t="shared" si="14"/>
        <v>1856.2200000000012</v>
      </c>
      <c r="S69" s="3" t="s">
        <v>32</v>
      </c>
      <c r="T69" s="3" t="s">
        <v>27</v>
      </c>
    </row>
    <row r="70" spans="1:20" x14ac:dyDescent="0.3">
      <c r="A70" s="14">
        <v>45644</v>
      </c>
      <c r="B70" s="3" t="s">
        <v>81</v>
      </c>
      <c r="C70" s="4" t="s">
        <v>21</v>
      </c>
      <c r="D70" s="4">
        <v>2024</v>
      </c>
      <c r="E70" s="3" t="s">
        <v>36</v>
      </c>
      <c r="F70" s="3" t="s">
        <v>55</v>
      </c>
      <c r="G70" s="3" t="s">
        <v>24</v>
      </c>
      <c r="H70" s="3" t="s">
        <v>56</v>
      </c>
      <c r="I70" s="5">
        <v>19365.54</v>
      </c>
      <c r="J70" s="5">
        <v>7872.94</v>
      </c>
      <c r="K70" s="5">
        <v>4433.57</v>
      </c>
      <c r="L70" s="5">
        <f t="shared" si="10"/>
        <v>11492.600000000002</v>
      </c>
      <c r="M70" s="5">
        <f t="shared" si="11"/>
        <v>7059.0300000000025</v>
      </c>
      <c r="N70" s="6">
        <f t="shared" si="12"/>
        <v>0.36451500965116396</v>
      </c>
      <c r="O70" s="4">
        <v>138</v>
      </c>
      <c r="P70" s="5">
        <v>16874.240000000002</v>
      </c>
      <c r="Q70" s="5">
        <f t="shared" si="13"/>
        <v>19365.54</v>
      </c>
      <c r="R70" s="7">
        <f t="shared" si="14"/>
        <v>2491.2999999999993</v>
      </c>
      <c r="S70" s="3" t="s">
        <v>64</v>
      </c>
      <c r="T70" s="3" t="s">
        <v>60</v>
      </c>
    </row>
    <row r="71" spans="1:20" x14ac:dyDescent="0.3">
      <c r="A71" s="14">
        <v>45612</v>
      </c>
      <c r="B71" s="3" t="s">
        <v>20</v>
      </c>
      <c r="C71" s="4" t="s">
        <v>21</v>
      </c>
      <c r="D71" s="4">
        <v>2024</v>
      </c>
      <c r="E71" s="3" t="s">
        <v>36</v>
      </c>
      <c r="F71" s="3" t="s">
        <v>53</v>
      </c>
      <c r="G71" s="3" t="s">
        <v>49</v>
      </c>
      <c r="H71" s="3" t="s">
        <v>77</v>
      </c>
      <c r="I71" s="5">
        <v>33611.42</v>
      </c>
      <c r="J71" s="5">
        <v>12765.55</v>
      </c>
      <c r="K71" s="5">
        <v>4700.38</v>
      </c>
      <c r="L71" s="5">
        <f t="shared" si="10"/>
        <v>20845.87</v>
      </c>
      <c r="M71" s="5">
        <f t="shared" si="11"/>
        <v>16145.489999999998</v>
      </c>
      <c r="N71" s="6">
        <f t="shared" si="12"/>
        <v>0.48035727142738982</v>
      </c>
      <c r="O71" s="4">
        <v>298</v>
      </c>
      <c r="P71" s="5">
        <v>30003.94</v>
      </c>
      <c r="Q71" s="5">
        <f t="shared" si="13"/>
        <v>33611.42</v>
      </c>
      <c r="R71" s="7">
        <f t="shared" si="14"/>
        <v>3607.4799999999996</v>
      </c>
      <c r="S71" s="3" t="s">
        <v>40</v>
      </c>
      <c r="T71" s="3" t="s">
        <v>33</v>
      </c>
    </row>
    <row r="72" spans="1:20" x14ac:dyDescent="0.3">
      <c r="A72" s="14">
        <v>45449</v>
      </c>
      <c r="B72" s="3" t="s">
        <v>68</v>
      </c>
      <c r="C72" s="4" t="s">
        <v>67</v>
      </c>
      <c r="D72" s="4">
        <v>2024</v>
      </c>
      <c r="E72" s="3" t="s">
        <v>36</v>
      </c>
      <c r="F72" s="3" t="s">
        <v>46</v>
      </c>
      <c r="G72" s="3" t="s">
        <v>24</v>
      </c>
      <c r="H72" s="3" t="s">
        <v>61</v>
      </c>
      <c r="I72" s="5">
        <v>18167.04</v>
      </c>
      <c r="J72" s="5">
        <v>7463.35</v>
      </c>
      <c r="K72" s="5">
        <v>2913.56</v>
      </c>
      <c r="L72" s="5">
        <f t="shared" si="10"/>
        <v>10703.69</v>
      </c>
      <c r="M72" s="5">
        <f t="shared" si="11"/>
        <v>7790.130000000001</v>
      </c>
      <c r="N72" s="6">
        <f t="shared" si="12"/>
        <v>0.42880568325935325</v>
      </c>
      <c r="O72" s="4">
        <v>83</v>
      </c>
      <c r="P72" s="5">
        <v>16925.759999999998</v>
      </c>
      <c r="Q72" s="5">
        <f t="shared" si="13"/>
        <v>18167.04</v>
      </c>
      <c r="R72" s="7">
        <f t="shared" si="14"/>
        <v>1241.2800000000025</v>
      </c>
      <c r="S72" s="3" t="s">
        <v>26</v>
      </c>
      <c r="T72" s="3" t="s">
        <v>27</v>
      </c>
    </row>
    <row r="73" spans="1:20" x14ac:dyDescent="0.3">
      <c r="A73" s="14">
        <v>45516</v>
      </c>
      <c r="B73" s="3" t="s">
        <v>34</v>
      </c>
      <c r="C73" s="4" t="s">
        <v>35</v>
      </c>
      <c r="D73" s="4">
        <v>2024</v>
      </c>
      <c r="E73" s="3" t="s">
        <v>22</v>
      </c>
      <c r="F73" s="3" t="s">
        <v>46</v>
      </c>
      <c r="G73" s="3" t="s">
        <v>38</v>
      </c>
      <c r="H73" s="3" t="s">
        <v>69</v>
      </c>
      <c r="I73" s="5">
        <v>61463.16</v>
      </c>
      <c r="J73" s="5">
        <v>24589.79</v>
      </c>
      <c r="K73" s="5">
        <v>6988.3</v>
      </c>
      <c r="L73" s="5">
        <f t="shared" si="10"/>
        <v>36873.370000000003</v>
      </c>
      <c r="M73" s="5">
        <f t="shared" si="11"/>
        <v>29885.070000000003</v>
      </c>
      <c r="N73" s="6">
        <f t="shared" si="12"/>
        <v>0.4862273596085851</v>
      </c>
      <c r="O73" s="4">
        <v>396</v>
      </c>
      <c r="P73" s="5">
        <v>69980.31</v>
      </c>
      <c r="Q73" s="5">
        <f t="shared" si="13"/>
        <v>61463.16</v>
      </c>
      <c r="R73" s="7">
        <f t="shared" si="14"/>
        <v>-8517.1499999999942</v>
      </c>
      <c r="S73" s="3" t="s">
        <v>26</v>
      </c>
      <c r="T73" s="3" t="s">
        <v>41</v>
      </c>
    </row>
    <row r="74" spans="1:20" x14ac:dyDescent="0.3">
      <c r="A74" s="14">
        <v>45636</v>
      </c>
      <c r="B74" s="3" t="s">
        <v>81</v>
      </c>
      <c r="C74" s="4" t="s">
        <v>21</v>
      </c>
      <c r="D74" s="4">
        <v>2024</v>
      </c>
      <c r="E74" s="3" t="s">
        <v>45</v>
      </c>
      <c r="F74" s="3" t="s">
        <v>46</v>
      </c>
      <c r="G74" s="3" t="s">
        <v>38</v>
      </c>
      <c r="H74" s="3" t="s">
        <v>39</v>
      </c>
      <c r="I74" s="5">
        <v>62595</v>
      </c>
      <c r="J74" s="5">
        <v>27444.52</v>
      </c>
      <c r="K74" s="5">
        <v>8871.18</v>
      </c>
      <c r="L74" s="5">
        <f t="shared" si="10"/>
        <v>35150.479999999996</v>
      </c>
      <c r="M74" s="5">
        <f t="shared" si="11"/>
        <v>26279.299999999996</v>
      </c>
      <c r="N74" s="6">
        <f t="shared" si="12"/>
        <v>0.41983065740075076</v>
      </c>
      <c r="O74" s="4">
        <v>260</v>
      </c>
      <c r="P74" s="5">
        <v>71926.89</v>
      </c>
      <c r="Q74" s="5">
        <f t="shared" si="13"/>
        <v>62595</v>
      </c>
      <c r="R74" s="7">
        <f t="shared" si="14"/>
        <v>-9331.89</v>
      </c>
      <c r="S74" s="3" t="s">
        <v>32</v>
      </c>
      <c r="T74" s="3" t="s">
        <v>27</v>
      </c>
    </row>
    <row r="75" spans="1:20" x14ac:dyDescent="0.3">
      <c r="A75" s="14">
        <v>45338</v>
      </c>
      <c r="B75" s="3" t="s">
        <v>47</v>
      </c>
      <c r="C75" s="4" t="s">
        <v>29</v>
      </c>
      <c r="D75" s="4">
        <v>2024</v>
      </c>
      <c r="E75" s="3" t="s">
        <v>48</v>
      </c>
      <c r="F75" s="3" t="s">
        <v>37</v>
      </c>
      <c r="G75" s="3" t="s">
        <v>49</v>
      </c>
      <c r="H75" s="3" t="s">
        <v>50</v>
      </c>
      <c r="I75" s="5">
        <v>56397.84</v>
      </c>
      <c r="J75" s="5">
        <v>29414.1</v>
      </c>
      <c r="K75" s="5">
        <v>8429.82</v>
      </c>
      <c r="L75" s="5">
        <f t="shared" si="10"/>
        <v>26983.739999999998</v>
      </c>
      <c r="M75" s="5">
        <f t="shared" si="11"/>
        <v>18553.919999999998</v>
      </c>
      <c r="N75" s="6">
        <f t="shared" si="12"/>
        <v>0.32898281210769775</v>
      </c>
      <c r="O75" s="4">
        <v>184</v>
      </c>
      <c r="P75" s="5">
        <v>59674.67</v>
      </c>
      <c r="Q75" s="5">
        <f t="shared" si="13"/>
        <v>56397.84</v>
      </c>
      <c r="R75" s="7">
        <f t="shared" si="14"/>
        <v>-3276.8300000000017</v>
      </c>
      <c r="S75" s="3" t="s">
        <v>73</v>
      </c>
      <c r="T75" s="3" t="s">
        <v>27</v>
      </c>
    </row>
    <row r="76" spans="1:20" x14ac:dyDescent="0.3">
      <c r="A76" s="14">
        <v>45573</v>
      </c>
      <c r="B76" s="3" t="s">
        <v>44</v>
      </c>
      <c r="C76" s="4" t="s">
        <v>21</v>
      </c>
      <c r="D76" s="4">
        <v>2024</v>
      </c>
      <c r="E76" s="3" t="s">
        <v>22</v>
      </c>
      <c r="F76" s="3" t="s">
        <v>55</v>
      </c>
      <c r="G76" s="3" t="s">
        <v>38</v>
      </c>
      <c r="H76" s="3" t="s">
        <v>80</v>
      </c>
      <c r="I76" s="5">
        <v>23187.38</v>
      </c>
      <c r="J76" s="5">
        <v>12614.79</v>
      </c>
      <c r="K76" s="5">
        <v>3724.5</v>
      </c>
      <c r="L76" s="5">
        <f t="shared" si="10"/>
        <v>10572.59</v>
      </c>
      <c r="M76" s="5">
        <f t="shared" si="11"/>
        <v>6848.09</v>
      </c>
      <c r="N76" s="6">
        <f t="shared" si="12"/>
        <v>0.29533694621815831</v>
      </c>
      <c r="O76" s="4">
        <v>149</v>
      </c>
      <c r="P76" s="5">
        <v>23288.91</v>
      </c>
      <c r="Q76" s="5">
        <f t="shared" si="13"/>
        <v>23187.38</v>
      </c>
      <c r="R76" s="7">
        <f t="shared" si="14"/>
        <v>-101.52999999999884</v>
      </c>
      <c r="S76" s="3" t="s">
        <v>40</v>
      </c>
      <c r="T76" s="3" t="s">
        <v>27</v>
      </c>
    </row>
    <row r="77" spans="1:20" x14ac:dyDescent="0.3">
      <c r="A77" s="14">
        <v>45503</v>
      </c>
      <c r="B77" s="3" t="s">
        <v>42</v>
      </c>
      <c r="C77" s="4" t="s">
        <v>35</v>
      </c>
      <c r="D77" s="4">
        <v>2024</v>
      </c>
      <c r="E77" s="3" t="s">
        <v>22</v>
      </c>
      <c r="F77" s="3" t="s">
        <v>53</v>
      </c>
      <c r="G77" s="3" t="s">
        <v>57</v>
      </c>
      <c r="H77" s="3" t="s">
        <v>75</v>
      </c>
      <c r="I77" s="5">
        <v>116288.9</v>
      </c>
      <c r="J77" s="5">
        <v>55246.73</v>
      </c>
      <c r="K77" s="5">
        <v>24885.66</v>
      </c>
      <c r="L77" s="5">
        <f t="shared" si="10"/>
        <v>61042.169999999991</v>
      </c>
      <c r="M77" s="5">
        <f t="shared" si="11"/>
        <v>36156.509999999995</v>
      </c>
      <c r="N77" s="6">
        <f t="shared" si="12"/>
        <v>0.31091970084849024</v>
      </c>
      <c r="O77" s="4">
        <v>338</v>
      </c>
      <c r="P77" s="5">
        <v>105947.03</v>
      </c>
      <c r="Q77" s="5">
        <f t="shared" si="13"/>
        <v>116288.9</v>
      </c>
      <c r="R77" s="7">
        <f t="shared" si="14"/>
        <v>10341.869999999995</v>
      </c>
      <c r="S77" s="3" t="s">
        <v>26</v>
      </c>
      <c r="T77" s="3" t="s">
        <v>33</v>
      </c>
    </row>
    <row r="78" spans="1:20" x14ac:dyDescent="0.3">
      <c r="A78" s="14">
        <v>45439</v>
      </c>
      <c r="B78" s="3" t="s">
        <v>74</v>
      </c>
      <c r="C78" s="4" t="s">
        <v>67</v>
      </c>
      <c r="D78" s="4">
        <v>2024</v>
      </c>
      <c r="E78" s="3" t="s">
        <v>48</v>
      </c>
      <c r="F78" s="3" t="s">
        <v>55</v>
      </c>
      <c r="G78" s="3" t="s">
        <v>38</v>
      </c>
      <c r="H78" s="3" t="s">
        <v>63</v>
      </c>
      <c r="I78" s="5">
        <v>95712.12</v>
      </c>
      <c r="J78" s="5">
        <v>38079.980000000003</v>
      </c>
      <c r="K78" s="5">
        <v>11845.02</v>
      </c>
      <c r="L78" s="5">
        <f t="shared" si="10"/>
        <v>57632.139999999992</v>
      </c>
      <c r="M78" s="5">
        <f t="shared" si="11"/>
        <v>45787.119999999995</v>
      </c>
      <c r="N78" s="6">
        <f t="shared" si="12"/>
        <v>0.47838371984655648</v>
      </c>
      <c r="O78" s="4">
        <v>342</v>
      </c>
      <c r="P78" s="5">
        <v>97171.89</v>
      </c>
      <c r="Q78" s="5">
        <f t="shared" si="13"/>
        <v>95712.12</v>
      </c>
      <c r="R78" s="7">
        <f t="shared" si="14"/>
        <v>-1459.7700000000041</v>
      </c>
      <c r="S78" s="3" t="s">
        <v>26</v>
      </c>
      <c r="T78" s="3" t="s">
        <v>27</v>
      </c>
    </row>
    <row r="79" spans="1:20" x14ac:dyDescent="0.3">
      <c r="A79" s="14">
        <v>45339</v>
      </c>
      <c r="B79" s="3" t="s">
        <v>47</v>
      </c>
      <c r="C79" s="4" t="s">
        <v>29</v>
      </c>
      <c r="D79" s="4">
        <v>2024</v>
      </c>
      <c r="E79" s="3" t="s">
        <v>52</v>
      </c>
      <c r="F79" s="3" t="s">
        <v>23</v>
      </c>
      <c r="G79" s="3" t="s">
        <v>49</v>
      </c>
      <c r="H79" s="3" t="s">
        <v>77</v>
      </c>
      <c r="I79" s="5">
        <v>132319.98000000001</v>
      </c>
      <c r="J79" s="5">
        <v>59501</v>
      </c>
      <c r="K79" s="5">
        <v>27455.14</v>
      </c>
      <c r="L79" s="5">
        <f t="shared" si="10"/>
        <v>72818.98000000001</v>
      </c>
      <c r="M79" s="5">
        <f t="shared" si="11"/>
        <v>45363.840000000011</v>
      </c>
      <c r="N79" s="6">
        <f t="shared" si="12"/>
        <v>0.34283439281051892</v>
      </c>
      <c r="O79" s="4">
        <v>351</v>
      </c>
      <c r="P79" s="5">
        <v>132672.16</v>
      </c>
      <c r="Q79" s="5">
        <f t="shared" si="13"/>
        <v>132319.98000000001</v>
      </c>
      <c r="R79" s="7">
        <f t="shared" si="14"/>
        <v>-352.17999999999302</v>
      </c>
      <c r="S79" s="3" t="s">
        <v>73</v>
      </c>
      <c r="T79" s="3" t="s">
        <v>27</v>
      </c>
    </row>
    <row r="80" spans="1:20" x14ac:dyDescent="0.3">
      <c r="A80" s="14">
        <v>45539</v>
      </c>
      <c r="B80" s="3" t="s">
        <v>51</v>
      </c>
      <c r="C80" s="4" t="s">
        <v>35</v>
      </c>
      <c r="D80" s="4">
        <v>2024</v>
      </c>
      <c r="E80" s="3" t="s">
        <v>48</v>
      </c>
      <c r="F80" s="3" t="s">
        <v>53</v>
      </c>
      <c r="G80" s="3" t="s">
        <v>49</v>
      </c>
      <c r="H80" s="3" t="s">
        <v>59</v>
      </c>
      <c r="I80" s="5">
        <v>17094.84</v>
      </c>
      <c r="J80" s="5">
        <v>9135.0300000000007</v>
      </c>
      <c r="K80" s="5">
        <v>3012.73</v>
      </c>
      <c r="L80" s="5">
        <f t="shared" si="10"/>
        <v>7959.8099999999995</v>
      </c>
      <c r="M80" s="5">
        <f t="shared" si="11"/>
        <v>4947.08</v>
      </c>
      <c r="N80" s="6">
        <f t="shared" si="12"/>
        <v>0.28939024875342501</v>
      </c>
      <c r="O80" s="4">
        <v>94</v>
      </c>
      <c r="P80" s="5">
        <v>19040.2</v>
      </c>
      <c r="Q80" s="5">
        <f t="shared" si="13"/>
        <v>17094.84</v>
      </c>
      <c r="R80" s="7">
        <f t="shared" si="14"/>
        <v>-1945.3600000000006</v>
      </c>
      <c r="S80" s="3" t="s">
        <v>40</v>
      </c>
      <c r="T80" s="3" t="s">
        <v>60</v>
      </c>
    </row>
    <row r="81" spans="1:20" x14ac:dyDescent="0.3">
      <c r="A81" s="14">
        <v>45504</v>
      </c>
      <c r="B81" s="3" t="s">
        <v>42</v>
      </c>
      <c r="C81" s="4" t="s">
        <v>35</v>
      </c>
      <c r="D81" s="4">
        <v>2024</v>
      </c>
      <c r="E81" s="3" t="s">
        <v>45</v>
      </c>
      <c r="F81" s="3" t="s">
        <v>46</v>
      </c>
      <c r="G81" s="3" t="s">
        <v>24</v>
      </c>
      <c r="H81" s="3" t="s">
        <v>56</v>
      </c>
      <c r="I81" s="5">
        <v>54256.12</v>
      </c>
      <c r="J81" s="5">
        <v>28077.279999999999</v>
      </c>
      <c r="K81" s="5">
        <v>10145.27</v>
      </c>
      <c r="L81" s="5">
        <f t="shared" si="10"/>
        <v>26178.840000000004</v>
      </c>
      <c r="M81" s="5">
        <f t="shared" si="11"/>
        <v>16033.570000000003</v>
      </c>
      <c r="N81" s="6">
        <f t="shared" si="12"/>
        <v>0.29551633990782977</v>
      </c>
      <c r="O81" s="4">
        <v>164</v>
      </c>
      <c r="P81" s="5">
        <v>56859.45</v>
      </c>
      <c r="Q81" s="5">
        <f t="shared" si="13"/>
        <v>54256.12</v>
      </c>
      <c r="R81" s="7">
        <f t="shared" si="14"/>
        <v>-2603.3299999999945</v>
      </c>
      <c r="S81" s="3" t="s">
        <v>64</v>
      </c>
      <c r="T81" s="3" t="s">
        <v>27</v>
      </c>
    </row>
    <row r="82" spans="1:20" x14ac:dyDescent="0.3">
      <c r="A82" s="14">
        <v>45567</v>
      </c>
      <c r="B82" s="3" t="s">
        <v>44</v>
      </c>
      <c r="C82" s="4" t="s">
        <v>21</v>
      </c>
      <c r="D82" s="4">
        <v>2024</v>
      </c>
      <c r="E82" s="3" t="s">
        <v>48</v>
      </c>
      <c r="F82" s="3" t="s">
        <v>37</v>
      </c>
      <c r="G82" s="3" t="s">
        <v>24</v>
      </c>
      <c r="H82" s="3" t="s">
        <v>43</v>
      </c>
      <c r="I82" s="5">
        <v>103069.9</v>
      </c>
      <c r="J82" s="5">
        <v>45460.93</v>
      </c>
      <c r="K82" s="5">
        <v>15281.82</v>
      </c>
      <c r="L82" s="5">
        <f t="shared" si="10"/>
        <v>57608.969999999994</v>
      </c>
      <c r="M82" s="5">
        <f t="shared" si="11"/>
        <v>42327.149999999994</v>
      </c>
      <c r="N82" s="6">
        <f t="shared" si="12"/>
        <v>0.41066451020132938</v>
      </c>
      <c r="O82" s="4">
        <v>410</v>
      </c>
      <c r="P82" s="5">
        <v>93442.73</v>
      </c>
      <c r="Q82" s="5">
        <f t="shared" si="13"/>
        <v>103069.9</v>
      </c>
      <c r="R82" s="7">
        <f t="shared" si="14"/>
        <v>9627.1699999999983</v>
      </c>
      <c r="S82" s="3" t="s">
        <v>64</v>
      </c>
      <c r="T82" s="3" t="s">
        <v>27</v>
      </c>
    </row>
    <row r="83" spans="1:20" x14ac:dyDescent="0.3">
      <c r="A83" s="14">
        <v>45411</v>
      </c>
      <c r="B83" s="3" t="s">
        <v>66</v>
      </c>
      <c r="C83" s="4" t="s">
        <v>67</v>
      </c>
      <c r="D83" s="4">
        <v>2024</v>
      </c>
      <c r="E83" s="3" t="s">
        <v>48</v>
      </c>
      <c r="F83" s="3" t="s">
        <v>23</v>
      </c>
      <c r="G83" s="3" t="s">
        <v>24</v>
      </c>
      <c r="H83" s="3" t="s">
        <v>61</v>
      </c>
      <c r="I83" s="5">
        <v>157101.54</v>
      </c>
      <c r="J83" s="5">
        <v>66963.94</v>
      </c>
      <c r="K83" s="5">
        <v>39002.36</v>
      </c>
      <c r="L83" s="5">
        <f t="shared" si="10"/>
        <v>90137.600000000006</v>
      </c>
      <c r="M83" s="5">
        <f t="shared" si="11"/>
        <v>51135.240000000005</v>
      </c>
      <c r="N83" s="6">
        <f t="shared" si="12"/>
        <v>0.3254916533599862</v>
      </c>
      <c r="O83" s="4">
        <v>381</v>
      </c>
      <c r="P83" s="5">
        <v>170882.19</v>
      </c>
      <c r="Q83" s="5">
        <f t="shared" si="13"/>
        <v>157101.54</v>
      </c>
      <c r="R83" s="7">
        <f t="shared" si="14"/>
        <v>-13780.649999999994</v>
      </c>
      <c r="S83" s="3" t="s">
        <v>64</v>
      </c>
      <c r="T83" s="3" t="s">
        <v>27</v>
      </c>
    </row>
    <row r="84" spans="1:20" x14ac:dyDescent="0.3">
      <c r="A84" s="14">
        <v>45310</v>
      </c>
      <c r="B84" s="3" t="s">
        <v>28</v>
      </c>
      <c r="C84" s="4" t="s">
        <v>29</v>
      </c>
      <c r="D84" s="4">
        <v>2024</v>
      </c>
      <c r="E84" s="3" t="s">
        <v>52</v>
      </c>
      <c r="F84" s="3" t="s">
        <v>46</v>
      </c>
      <c r="G84" s="3" t="s">
        <v>57</v>
      </c>
      <c r="H84" s="3" t="s">
        <v>75</v>
      </c>
      <c r="I84" s="5">
        <v>27276.9</v>
      </c>
      <c r="J84" s="5">
        <v>14156.93</v>
      </c>
      <c r="K84" s="5">
        <v>3135.66</v>
      </c>
      <c r="L84" s="5">
        <f t="shared" si="10"/>
        <v>13119.970000000001</v>
      </c>
      <c r="M84" s="5">
        <f t="shared" si="11"/>
        <v>9984.3100000000013</v>
      </c>
      <c r="N84" s="6">
        <f t="shared" si="12"/>
        <v>0.36603536325608849</v>
      </c>
      <c r="O84" s="4">
        <v>465</v>
      </c>
      <c r="P84" s="5">
        <v>30635.57</v>
      </c>
      <c r="Q84" s="5">
        <f t="shared" si="13"/>
        <v>27276.9</v>
      </c>
      <c r="R84" s="7">
        <f t="shared" si="14"/>
        <v>-3358.6699999999983</v>
      </c>
      <c r="S84" s="3" t="s">
        <v>40</v>
      </c>
      <c r="T84" s="3" t="s">
        <v>33</v>
      </c>
    </row>
    <row r="85" spans="1:20" x14ac:dyDescent="0.3">
      <c r="A85" s="14">
        <v>45501</v>
      </c>
      <c r="B85" s="3" t="s">
        <v>42</v>
      </c>
      <c r="C85" s="4" t="s">
        <v>35</v>
      </c>
      <c r="D85" s="4">
        <v>2024</v>
      </c>
      <c r="E85" s="3" t="s">
        <v>52</v>
      </c>
      <c r="F85" s="3" t="s">
        <v>23</v>
      </c>
      <c r="G85" s="3" t="s">
        <v>49</v>
      </c>
      <c r="H85" s="3" t="s">
        <v>50</v>
      </c>
      <c r="I85" s="5">
        <v>55221.16</v>
      </c>
      <c r="J85" s="5">
        <v>23717.3</v>
      </c>
      <c r="K85" s="5">
        <v>6187.38</v>
      </c>
      <c r="L85" s="5">
        <f t="shared" si="10"/>
        <v>31503.860000000004</v>
      </c>
      <c r="M85" s="5">
        <f t="shared" si="11"/>
        <v>25316.480000000003</v>
      </c>
      <c r="N85" s="6">
        <f t="shared" si="12"/>
        <v>0.45845614253666533</v>
      </c>
      <c r="O85" s="4">
        <v>193</v>
      </c>
      <c r="P85" s="5">
        <v>52381.120000000003</v>
      </c>
      <c r="Q85" s="5">
        <f t="shared" si="13"/>
        <v>55221.16</v>
      </c>
      <c r="R85" s="7">
        <f t="shared" si="14"/>
        <v>2840.0400000000009</v>
      </c>
      <c r="S85" s="3" t="s">
        <v>26</v>
      </c>
      <c r="T85" s="3" t="s">
        <v>27</v>
      </c>
    </row>
    <row r="86" spans="1:20" x14ac:dyDescent="0.3">
      <c r="A86" s="14">
        <v>45454</v>
      </c>
      <c r="B86" s="3" t="s">
        <v>68</v>
      </c>
      <c r="C86" s="4" t="s">
        <v>67</v>
      </c>
      <c r="D86" s="4">
        <v>2024</v>
      </c>
      <c r="E86" s="3" t="s">
        <v>48</v>
      </c>
      <c r="F86" s="3" t="s">
        <v>46</v>
      </c>
      <c r="G86" s="3" t="s">
        <v>38</v>
      </c>
      <c r="H86" s="3" t="s">
        <v>84</v>
      </c>
      <c r="I86" s="5">
        <v>6442.15</v>
      </c>
      <c r="J86" s="5">
        <v>3136.55</v>
      </c>
      <c r="K86" s="5">
        <v>921.92</v>
      </c>
      <c r="L86" s="5">
        <f t="shared" si="10"/>
        <v>3305.5999999999995</v>
      </c>
      <c r="M86" s="5">
        <f t="shared" si="11"/>
        <v>2383.6799999999994</v>
      </c>
      <c r="N86" s="6">
        <f t="shared" si="12"/>
        <v>0.3700131167389768</v>
      </c>
      <c r="O86" s="4">
        <v>55</v>
      </c>
      <c r="P86" s="5">
        <v>5915.48</v>
      </c>
      <c r="Q86" s="5">
        <f t="shared" si="13"/>
        <v>6442.15</v>
      </c>
      <c r="R86" s="7">
        <f t="shared" si="14"/>
        <v>526.67000000000007</v>
      </c>
      <c r="S86" s="3" t="s">
        <v>40</v>
      </c>
      <c r="T86" s="3" t="s">
        <v>27</v>
      </c>
    </row>
    <row r="87" spans="1:20" x14ac:dyDescent="0.3">
      <c r="A87" s="14">
        <v>45342</v>
      </c>
      <c r="B87" s="3" t="s">
        <v>47</v>
      </c>
      <c r="C87" s="4" t="s">
        <v>29</v>
      </c>
      <c r="D87" s="4">
        <v>2024</v>
      </c>
      <c r="E87" s="3" t="s">
        <v>22</v>
      </c>
      <c r="F87" s="3" t="s">
        <v>55</v>
      </c>
      <c r="G87" s="3" t="s">
        <v>30</v>
      </c>
      <c r="H87" s="3" t="s">
        <v>76</v>
      </c>
      <c r="I87" s="5">
        <v>13298.38</v>
      </c>
      <c r="J87" s="5">
        <v>5517.16</v>
      </c>
      <c r="K87" s="5">
        <v>1441.78</v>
      </c>
      <c r="L87" s="5">
        <f t="shared" si="10"/>
        <v>7781.2199999999993</v>
      </c>
      <c r="M87" s="5">
        <f t="shared" si="11"/>
        <v>6339.44</v>
      </c>
      <c r="N87" s="6">
        <f t="shared" si="12"/>
        <v>0.47670768920725681</v>
      </c>
      <c r="O87" s="4">
        <v>482</v>
      </c>
      <c r="P87" s="5">
        <v>12733.72</v>
      </c>
      <c r="Q87" s="5">
        <f t="shared" si="13"/>
        <v>13298.38</v>
      </c>
      <c r="R87" s="7">
        <f t="shared" si="14"/>
        <v>564.65999999999985</v>
      </c>
      <c r="S87" s="3" t="s">
        <v>32</v>
      </c>
      <c r="T87" s="3" t="s">
        <v>33</v>
      </c>
    </row>
    <row r="88" spans="1:20" x14ac:dyDescent="0.3">
      <c r="A88" s="14">
        <v>45417</v>
      </c>
      <c r="B88" s="3" t="s">
        <v>74</v>
      </c>
      <c r="C88" s="4" t="s">
        <v>67</v>
      </c>
      <c r="D88" s="4">
        <v>2024</v>
      </c>
      <c r="E88" s="3" t="s">
        <v>36</v>
      </c>
      <c r="F88" s="3" t="s">
        <v>55</v>
      </c>
      <c r="G88" s="3" t="s">
        <v>57</v>
      </c>
      <c r="H88" s="3" t="s">
        <v>65</v>
      </c>
      <c r="I88" s="5">
        <v>9754.1200000000008</v>
      </c>
      <c r="J88" s="5">
        <v>4602.95</v>
      </c>
      <c r="K88" s="5">
        <v>1535.12</v>
      </c>
      <c r="L88" s="5">
        <f t="shared" si="10"/>
        <v>5151.170000000001</v>
      </c>
      <c r="M88" s="5">
        <f t="shared" si="11"/>
        <v>3616.0500000000011</v>
      </c>
      <c r="N88" s="6">
        <f t="shared" si="12"/>
        <v>0.37072026999872881</v>
      </c>
      <c r="O88" s="4">
        <v>107</v>
      </c>
      <c r="P88" s="5">
        <v>10290.02</v>
      </c>
      <c r="Q88" s="5">
        <f t="shared" si="13"/>
        <v>9754.1200000000008</v>
      </c>
      <c r="R88" s="7">
        <f t="shared" si="14"/>
        <v>-535.89999999999964</v>
      </c>
      <c r="S88" s="3" t="s">
        <v>32</v>
      </c>
      <c r="T88" s="3" t="s">
        <v>33</v>
      </c>
    </row>
    <row r="89" spans="1:20" x14ac:dyDescent="0.3">
      <c r="A89" s="14">
        <v>45410</v>
      </c>
      <c r="B89" s="3" t="s">
        <v>66</v>
      </c>
      <c r="C89" s="4" t="s">
        <v>67</v>
      </c>
      <c r="D89" s="4">
        <v>2024</v>
      </c>
      <c r="E89" s="3" t="s">
        <v>48</v>
      </c>
      <c r="F89" s="3" t="s">
        <v>37</v>
      </c>
      <c r="G89" s="3" t="s">
        <v>49</v>
      </c>
      <c r="H89" s="3" t="s">
        <v>50</v>
      </c>
      <c r="I89" s="5">
        <v>6891.49</v>
      </c>
      <c r="J89" s="5">
        <v>3521.05</v>
      </c>
      <c r="K89" s="5">
        <v>1620.75</v>
      </c>
      <c r="L89" s="5">
        <f t="shared" si="10"/>
        <v>3370.4399999999996</v>
      </c>
      <c r="M89" s="5">
        <f t="shared" si="11"/>
        <v>1749.6899999999996</v>
      </c>
      <c r="N89" s="6">
        <f t="shared" si="12"/>
        <v>0.25389139358832408</v>
      </c>
      <c r="O89" s="4">
        <v>361</v>
      </c>
      <c r="P89" s="5">
        <v>7258.69</v>
      </c>
      <c r="Q89" s="5">
        <f t="shared" si="13"/>
        <v>6891.49</v>
      </c>
      <c r="R89" s="7">
        <f t="shared" si="14"/>
        <v>-367.19999999999982</v>
      </c>
      <c r="S89" s="3" t="s">
        <v>64</v>
      </c>
      <c r="T89" s="3" t="s">
        <v>41</v>
      </c>
    </row>
    <row r="90" spans="1:20" x14ac:dyDescent="0.3">
      <c r="A90" s="14">
        <v>45518</v>
      </c>
      <c r="B90" s="3" t="s">
        <v>34</v>
      </c>
      <c r="C90" s="4" t="s">
        <v>35</v>
      </c>
      <c r="D90" s="4">
        <v>2024</v>
      </c>
      <c r="E90" s="3" t="s">
        <v>45</v>
      </c>
      <c r="F90" s="3" t="s">
        <v>46</v>
      </c>
      <c r="G90" s="3" t="s">
        <v>24</v>
      </c>
      <c r="H90" s="3" t="s">
        <v>61</v>
      </c>
      <c r="I90" s="5">
        <v>46173.67</v>
      </c>
      <c r="J90" s="5">
        <v>23966.94</v>
      </c>
      <c r="K90" s="5">
        <v>5997.15</v>
      </c>
      <c r="L90" s="5">
        <f t="shared" si="10"/>
        <v>22206.73</v>
      </c>
      <c r="M90" s="5">
        <f t="shared" si="11"/>
        <v>16209.58</v>
      </c>
      <c r="N90" s="6">
        <f t="shared" si="12"/>
        <v>0.35105678192788231</v>
      </c>
      <c r="O90" s="4">
        <v>373</v>
      </c>
      <c r="P90" s="5">
        <v>44576.43</v>
      </c>
      <c r="Q90" s="5">
        <f t="shared" si="13"/>
        <v>46173.67</v>
      </c>
      <c r="R90" s="7">
        <f t="shared" si="14"/>
        <v>1597.239999999998</v>
      </c>
      <c r="S90" s="3" t="s">
        <v>32</v>
      </c>
      <c r="T90" s="3" t="s">
        <v>41</v>
      </c>
    </row>
    <row r="91" spans="1:20" x14ac:dyDescent="0.3">
      <c r="A91" s="14">
        <v>45413</v>
      </c>
      <c r="B91" s="3" t="s">
        <v>74</v>
      </c>
      <c r="C91" s="4" t="s">
        <v>67</v>
      </c>
      <c r="D91" s="4">
        <v>2024</v>
      </c>
      <c r="E91" s="3" t="s">
        <v>48</v>
      </c>
      <c r="F91" s="3" t="s">
        <v>46</v>
      </c>
      <c r="G91" s="3" t="s">
        <v>24</v>
      </c>
      <c r="H91" s="3" t="s">
        <v>43</v>
      </c>
      <c r="I91" s="5">
        <v>76406.22</v>
      </c>
      <c r="J91" s="5">
        <v>31253.67</v>
      </c>
      <c r="K91" s="5">
        <v>18848.78</v>
      </c>
      <c r="L91" s="5">
        <f t="shared" si="10"/>
        <v>45152.55</v>
      </c>
      <c r="M91" s="5">
        <f t="shared" si="11"/>
        <v>26303.770000000004</v>
      </c>
      <c r="N91" s="6">
        <f t="shared" si="12"/>
        <v>0.3442621556203147</v>
      </c>
      <c r="O91" s="4">
        <v>171</v>
      </c>
      <c r="P91" s="5">
        <v>80033.14</v>
      </c>
      <c r="Q91" s="5">
        <f t="shared" si="13"/>
        <v>76406.22</v>
      </c>
      <c r="R91" s="7">
        <f t="shared" si="14"/>
        <v>-3626.9199999999983</v>
      </c>
      <c r="S91" s="3" t="s">
        <v>73</v>
      </c>
      <c r="T91" s="3" t="s">
        <v>41</v>
      </c>
    </row>
    <row r="92" spans="1:20" x14ac:dyDescent="0.3">
      <c r="A92" s="14">
        <v>45581</v>
      </c>
      <c r="B92" s="3" t="s">
        <v>44</v>
      </c>
      <c r="C92" s="4" t="s">
        <v>21</v>
      </c>
      <c r="D92" s="4">
        <v>2024</v>
      </c>
      <c r="E92" s="3" t="s">
        <v>22</v>
      </c>
      <c r="F92" s="3" t="s">
        <v>46</v>
      </c>
      <c r="G92" s="3" t="s">
        <v>49</v>
      </c>
      <c r="H92" s="3" t="s">
        <v>50</v>
      </c>
      <c r="I92" s="5">
        <v>151162.5</v>
      </c>
      <c r="J92" s="5">
        <v>71259.97</v>
      </c>
      <c r="K92" s="5">
        <v>23104.91</v>
      </c>
      <c r="L92" s="5">
        <f t="shared" si="10"/>
        <v>79902.53</v>
      </c>
      <c r="M92" s="5">
        <f t="shared" si="11"/>
        <v>56797.619999999995</v>
      </c>
      <c r="N92" s="6">
        <f t="shared" si="12"/>
        <v>0.37573882411312326</v>
      </c>
      <c r="O92" s="4">
        <v>417</v>
      </c>
      <c r="P92" s="5">
        <v>157357.95000000001</v>
      </c>
      <c r="Q92" s="5">
        <f t="shared" si="13"/>
        <v>151162.5</v>
      </c>
      <c r="R92" s="7">
        <f t="shared" si="14"/>
        <v>-6195.4500000000116</v>
      </c>
      <c r="S92" s="3" t="s">
        <v>26</v>
      </c>
      <c r="T92" s="3" t="s">
        <v>60</v>
      </c>
    </row>
    <row r="93" spans="1:20" x14ac:dyDescent="0.3">
      <c r="A93" s="14">
        <v>45639</v>
      </c>
      <c r="B93" s="3" t="s">
        <v>81</v>
      </c>
      <c r="C93" s="4" t="s">
        <v>21</v>
      </c>
      <c r="D93" s="4">
        <v>2024</v>
      </c>
      <c r="E93" s="3" t="s">
        <v>52</v>
      </c>
      <c r="F93" s="3" t="s">
        <v>23</v>
      </c>
      <c r="G93" s="3" t="s">
        <v>38</v>
      </c>
      <c r="H93" s="3" t="s">
        <v>80</v>
      </c>
      <c r="I93" s="5">
        <v>87459.48</v>
      </c>
      <c r="J93" s="5">
        <v>40748.660000000003</v>
      </c>
      <c r="K93" s="5">
        <v>18353.72</v>
      </c>
      <c r="L93" s="5">
        <f t="shared" si="10"/>
        <v>46710.819999999992</v>
      </c>
      <c r="M93" s="5">
        <f t="shared" si="11"/>
        <v>28357.099999999991</v>
      </c>
      <c r="N93" s="6">
        <f t="shared" si="12"/>
        <v>0.32423128973554372</v>
      </c>
      <c r="O93" s="4">
        <v>423</v>
      </c>
      <c r="P93" s="5">
        <v>76705.460000000006</v>
      </c>
      <c r="Q93" s="5">
        <f t="shared" si="13"/>
        <v>87459.48</v>
      </c>
      <c r="R93" s="7">
        <f t="shared" si="14"/>
        <v>10754.01999999999</v>
      </c>
      <c r="S93" s="3" t="s">
        <v>73</v>
      </c>
      <c r="T93" s="3" t="s">
        <v>60</v>
      </c>
    </row>
    <row r="94" spans="1:20" x14ac:dyDescent="0.3">
      <c r="A94" s="14">
        <v>45504</v>
      </c>
      <c r="B94" s="3" t="s">
        <v>42</v>
      </c>
      <c r="C94" s="4" t="s">
        <v>35</v>
      </c>
      <c r="D94" s="4">
        <v>2024</v>
      </c>
      <c r="E94" s="3" t="s">
        <v>52</v>
      </c>
      <c r="F94" s="3" t="s">
        <v>53</v>
      </c>
      <c r="G94" s="3" t="s">
        <v>30</v>
      </c>
      <c r="H94" s="3" t="s">
        <v>79</v>
      </c>
      <c r="I94" s="5">
        <v>204796.79999999999</v>
      </c>
      <c r="J94" s="5">
        <v>93422.25</v>
      </c>
      <c r="K94" s="5">
        <v>48541.56</v>
      </c>
      <c r="L94" s="5">
        <f t="shared" si="10"/>
        <v>111374.54999999999</v>
      </c>
      <c r="M94" s="5">
        <f t="shared" si="11"/>
        <v>62832.989999999991</v>
      </c>
      <c r="N94" s="6">
        <f t="shared" si="12"/>
        <v>0.30680650283598176</v>
      </c>
      <c r="O94" s="4">
        <v>468</v>
      </c>
      <c r="P94" s="5">
        <v>225100.72</v>
      </c>
      <c r="Q94" s="5">
        <f t="shared" si="13"/>
        <v>204796.79999999999</v>
      </c>
      <c r="R94" s="7">
        <f t="shared" si="14"/>
        <v>-20303.920000000013</v>
      </c>
      <c r="S94" s="3" t="s">
        <v>73</v>
      </c>
      <c r="T94" s="3" t="s">
        <v>27</v>
      </c>
    </row>
    <row r="95" spans="1:20" x14ac:dyDescent="0.3">
      <c r="A95" s="14">
        <v>45443</v>
      </c>
      <c r="B95" s="3" t="s">
        <v>74</v>
      </c>
      <c r="C95" s="4" t="s">
        <v>67</v>
      </c>
      <c r="D95" s="4">
        <v>2024</v>
      </c>
      <c r="E95" s="3" t="s">
        <v>45</v>
      </c>
      <c r="F95" s="3" t="s">
        <v>23</v>
      </c>
      <c r="G95" s="3" t="s">
        <v>49</v>
      </c>
      <c r="H95" s="3" t="s">
        <v>77</v>
      </c>
      <c r="I95" s="5">
        <v>31561.52</v>
      </c>
      <c r="J95" s="5">
        <v>12470.68</v>
      </c>
      <c r="K95" s="5">
        <v>6358.02</v>
      </c>
      <c r="L95" s="5">
        <f t="shared" si="10"/>
        <v>19090.84</v>
      </c>
      <c r="M95" s="5">
        <f t="shared" si="11"/>
        <v>12732.82</v>
      </c>
      <c r="N95" s="6">
        <f t="shared" si="12"/>
        <v>0.40342860546640336</v>
      </c>
      <c r="O95" s="4">
        <v>92</v>
      </c>
      <c r="P95" s="5">
        <v>33212.879999999997</v>
      </c>
      <c r="Q95" s="5">
        <f t="shared" si="13"/>
        <v>31561.52</v>
      </c>
      <c r="R95" s="7">
        <f t="shared" si="14"/>
        <v>-1651.3599999999969</v>
      </c>
      <c r="S95" s="3" t="s">
        <v>32</v>
      </c>
      <c r="T95" s="3" t="s">
        <v>60</v>
      </c>
    </row>
    <row r="96" spans="1:20" x14ac:dyDescent="0.3">
      <c r="A96" s="14">
        <v>45338</v>
      </c>
      <c r="B96" s="3" t="s">
        <v>47</v>
      </c>
      <c r="C96" s="4" t="s">
        <v>29</v>
      </c>
      <c r="D96" s="4">
        <v>2024</v>
      </c>
      <c r="E96" s="3" t="s">
        <v>48</v>
      </c>
      <c r="F96" s="3" t="s">
        <v>23</v>
      </c>
      <c r="G96" s="3" t="s">
        <v>24</v>
      </c>
      <c r="H96" s="3" t="s">
        <v>43</v>
      </c>
      <c r="I96" s="5">
        <v>17664.89</v>
      </c>
      <c r="J96" s="5">
        <v>8559.7999999999993</v>
      </c>
      <c r="K96" s="5">
        <v>3548.01</v>
      </c>
      <c r="L96" s="5">
        <f t="shared" si="10"/>
        <v>9105.09</v>
      </c>
      <c r="M96" s="5">
        <f t="shared" si="11"/>
        <v>5557.08</v>
      </c>
      <c r="N96" s="6">
        <f t="shared" si="12"/>
        <v>0.31458333451269721</v>
      </c>
      <c r="O96" s="4">
        <v>83</v>
      </c>
      <c r="P96" s="5">
        <v>18113.009999999998</v>
      </c>
      <c r="Q96" s="5">
        <f t="shared" si="13"/>
        <v>17664.89</v>
      </c>
      <c r="R96" s="7">
        <f t="shared" si="14"/>
        <v>-448.11999999999898</v>
      </c>
      <c r="S96" s="3" t="s">
        <v>73</v>
      </c>
      <c r="T96" s="3" t="s">
        <v>41</v>
      </c>
    </row>
    <row r="97" spans="1:20" x14ac:dyDescent="0.3">
      <c r="A97" s="14">
        <v>45637</v>
      </c>
      <c r="B97" s="3" t="s">
        <v>81</v>
      </c>
      <c r="C97" s="4" t="s">
        <v>21</v>
      </c>
      <c r="D97" s="4">
        <v>2024</v>
      </c>
      <c r="E97" s="3" t="s">
        <v>52</v>
      </c>
      <c r="F97" s="3" t="s">
        <v>55</v>
      </c>
      <c r="G97" s="3" t="s">
        <v>38</v>
      </c>
      <c r="H97" s="3" t="s">
        <v>84</v>
      </c>
      <c r="I97" s="5">
        <v>200732.16</v>
      </c>
      <c r="J97" s="5">
        <v>83424.539999999994</v>
      </c>
      <c r="K97" s="5">
        <v>38442.68</v>
      </c>
      <c r="L97" s="5">
        <f t="shared" si="10"/>
        <v>117307.62000000001</v>
      </c>
      <c r="M97" s="5">
        <f t="shared" si="11"/>
        <v>78864.94</v>
      </c>
      <c r="N97" s="6">
        <f t="shared" si="12"/>
        <v>0.39288642138858071</v>
      </c>
      <c r="O97" s="4">
        <v>472</v>
      </c>
      <c r="P97" s="5">
        <v>209623.73</v>
      </c>
      <c r="Q97" s="5">
        <f t="shared" si="13"/>
        <v>200732.16</v>
      </c>
      <c r="R97" s="7">
        <f t="shared" si="14"/>
        <v>-8891.570000000007</v>
      </c>
      <c r="S97" s="3" t="s">
        <v>32</v>
      </c>
      <c r="T97" s="3" t="s">
        <v>60</v>
      </c>
    </row>
    <row r="98" spans="1:20" x14ac:dyDescent="0.3">
      <c r="A98" s="14">
        <v>45624</v>
      </c>
      <c r="B98" s="3" t="s">
        <v>20</v>
      </c>
      <c r="C98" s="4" t="s">
        <v>21</v>
      </c>
      <c r="D98" s="4">
        <v>2024</v>
      </c>
      <c r="E98" s="3" t="s">
        <v>48</v>
      </c>
      <c r="F98" s="3" t="s">
        <v>23</v>
      </c>
      <c r="G98" s="3" t="s">
        <v>30</v>
      </c>
      <c r="H98" s="3" t="s">
        <v>72</v>
      </c>
      <c r="I98" s="5">
        <v>5748.6</v>
      </c>
      <c r="J98" s="5">
        <v>2578.39</v>
      </c>
      <c r="K98" s="5">
        <v>658.67</v>
      </c>
      <c r="L98" s="5">
        <f t="shared" ref="L98:L121" si="15">I98-J98</f>
        <v>3170.2100000000005</v>
      </c>
      <c r="M98" s="5">
        <f t="shared" ref="M98:M129" si="16">L98-K98</f>
        <v>2511.5400000000004</v>
      </c>
      <c r="N98" s="6">
        <f t="shared" ref="N98:N129" si="17">IFERROR(M98/I98,0)</f>
        <v>0.43689593988101455</v>
      </c>
      <c r="O98" s="4">
        <v>39</v>
      </c>
      <c r="P98" s="5">
        <v>6416.46</v>
      </c>
      <c r="Q98" s="5">
        <f t="shared" ref="Q98:Q121" si="18">I98</f>
        <v>5748.6</v>
      </c>
      <c r="R98" s="7">
        <f t="shared" ref="R98:R129" si="19">Q98-P98</f>
        <v>-667.85999999999967</v>
      </c>
      <c r="S98" s="3" t="s">
        <v>64</v>
      </c>
      <c r="T98" s="3" t="s">
        <v>27</v>
      </c>
    </row>
    <row r="99" spans="1:20" x14ac:dyDescent="0.3">
      <c r="A99" s="14">
        <v>45524</v>
      </c>
      <c r="B99" s="3" t="s">
        <v>34</v>
      </c>
      <c r="C99" s="4" t="s">
        <v>35</v>
      </c>
      <c r="D99" s="4">
        <v>2024</v>
      </c>
      <c r="E99" s="3" t="s">
        <v>45</v>
      </c>
      <c r="F99" s="3" t="s">
        <v>46</v>
      </c>
      <c r="G99" s="3" t="s">
        <v>49</v>
      </c>
      <c r="H99" s="3" t="s">
        <v>59</v>
      </c>
      <c r="I99" s="5">
        <v>132428</v>
      </c>
      <c r="J99" s="5">
        <v>69800.52</v>
      </c>
      <c r="K99" s="5">
        <v>26252.3</v>
      </c>
      <c r="L99" s="5">
        <f t="shared" si="15"/>
        <v>62627.479999999996</v>
      </c>
      <c r="M99" s="5">
        <f t="shared" si="16"/>
        <v>36375.179999999993</v>
      </c>
      <c r="N99" s="6">
        <f t="shared" si="17"/>
        <v>0.27467891986588933</v>
      </c>
      <c r="O99" s="4">
        <v>400</v>
      </c>
      <c r="P99" s="5">
        <v>145685.09</v>
      </c>
      <c r="Q99" s="5">
        <f t="shared" si="18"/>
        <v>132428</v>
      </c>
      <c r="R99" s="7">
        <f t="shared" si="19"/>
        <v>-13257.089999999997</v>
      </c>
      <c r="S99" s="3" t="s">
        <v>26</v>
      </c>
      <c r="T99" s="3" t="s">
        <v>27</v>
      </c>
    </row>
    <row r="100" spans="1:20" x14ac:dyDescent="0.3">
      <c r="A100" s="14">
        <v>45435</v>
      </c>
      <c r="B100" s="3" t="s">
        <v>74</v>
      </c>
      <c r="C100" s="4" t="s">
        <v>67</v>
      </c>
      <c r="D100" s="4">
        <v>2024</v>
      </c>
      <c r="E100" s="3" t="s">
        <v>22</v>
      </c>
      <c r="F100" s="3" t="s">
        <v>37</v>
      </c>
      <c r="G100" s="3" t="s">
        <v>30</v>
      </c>
      <c r="H100" s="3" t="s">
        <v>83</v>
      </c>
      <c r="I100" s="5">
        <v>105837.03</v>
      </c>
      <c r="J100" s="5">
        <v>55150.62</v>
      </c>
      <c r="K100" s="5">
        <v>12161.01</v>
      </c>
      <c r="L100" s="5">
        <f t="shared" si="15"/>
        <v>50686.409999999996</v>
      </c>
      <c r="M100" s="5">
        <f t="shared" si="16"/>
        <v>38525.399999999994</v>
      </c>
      <c r="N100" s="6">
        <f t="shared" si="17"/>
        <v>0.36400681311635441</v>
      </c>
      <c r="O100" s="4">
        <v>247</v>
      </c>
      <c r="P100" s="5">
        <v>111732.58</v>
      </c>
      <c r="Q100" s="5">
        <f t="shared" si="18"/>
        <v>105837.03</v>
      </c>
      <c r="R100" s="7">
        <f t="shared" si="19"/>
        <v>-5895.5500000000029</v>
      </c>
      <c r="S100" s="3" t="s">
        <v>26</v>
      </c>
      <c r="T100" s="3" t="s">
        <v>60</v>
      </c>
    </row>
    <row r="101" spans="1:20" x14ac:dyDescent="0.3">
      <c r="A101" s="14">
        <v>45323</v>
      </c>
      <c r="B101" s="3" t="s">
        <v>47</v>
      </c>
      <c r="C101" s="4" t="s">
        <v>29</v>
      </c>
      <c r="D101" s="4">
        <v>2024</v>
      </c>
      <c r="E101" s="3" t="s">
        <v>48</v>
      </c>
      <c r="F101" s="3" t="s">
        <v>37</v>
      </c>
      <c r="G101" s="3" t="s">
        <v>30</v>
      </c>
      <c r="H101" s="3" t="s">
        <v>72</v>
      </c>
      <c r="I101" s="5">
        <v>169578.08</v>
      </c>
      <c r="J101" s="5">
        <v>62461.49</v>
      </c>
      <c r="K101" s="5">
        <v>22353.08</v>
      </c>
      <c r="L101" s="5">
        <f t="shared" si="15"/>
        <v>107116.59</v>
      </c>
      <c r="M101" s="5">
        <f t="shared" si="16"/>
        <v>84763.51</v>
      </c>
      <c r="N101" s="6">
        <f t="shared" si="17"/>
        <v>0.49984944988173002</v>
      </c>
      <c r="O101" s="4">
        <v>454</v>
      </c>
      <c r="P101" s="5">
        <v>176674.56</v>
      </c>
      <c r="Q101" s="5">
        <f t="shared" si="18"/>
        <v>169578.08</v>
      </c>
      <c r="R101" s="7">
        <f t="shared" si="19"/>
        <v>-7096.4800000000105</v>
      </c>
      <c r="S101" s="3" t="s">
        <v>40</v>
      </c>
      <c r="T101" s="3" t="s">
        <v>41</v>
      </c>
    </row>
    <row r="102" spans="1:20" x14ac:dyDescent="0.3">
      <c r="A102" s="14">
        <v>45462</v>
      </c>
      <c r="B102" s="3" t="s">
        <v>68</v>
      </c>
      <c r="C102" s="4" t="s">
        <v>67</v>
      </c>
      <c r="D102" s="4">
        <v>2024</v>
      </c>
      <c r="E102" s="3" t="s">
        <v>52</v>
      </c>
      <c r="F102" s="3" t="s">
        <v>53</v>
      </c>
      <c r="G102" s="3" t="s">
        <v>57</v>
      </c>
      <c r="H102" s="3" t="s">
        <v>65</v>
      </c>
      <c r="I102" s="5">
        <v>20678.349999999999</v>
      </c>
      <c r="J102" s="5">
        <v>9529.44</v>
      </c>
      <c r="K102" s="5">
        <v>3886.65</v>
      </c>
      <c r="L102" s="5">
        <f t="shared" si="15"/>
        <v>11148.909999999998</v>
      </c>
      <c r="M102" s="5">
        <f t="shared" si="16"/>
        <v>7262.2599999999984</v>
      </c>
      <c r="N102" s="6">
        <f t="shared" si="17"/>
        <v>0.35120113548711568</v>
      </c>
      <c r="O102" s="4">
        <v>55</v>
      </c>
      <c r="P102" s="5">
        <v>22620.38</v>
      </c>
      <c r="Q102" s="5">
        <f t="shared" si="18"/>
        <v>20678.349999999999</v>
      </c>
      <c r="R102" s="7">
        <f t="shared" si="19"/>
        <v>-1942.0300000000025</v>
      </c>
      <c r="S102" s="3" t="s">
        <v>64</v>
      </c>
      <c r="T102" s="3" t="s">
        <v>60</v>
      </c>
    </row>
    <row r="103" spans="1:20" x14ac:dyDescent="0.3">
      <c r="A103" s="14">
        <v>45367</v>
      </c>
      <c r="B103" s="3" t="s">
        <v>71</v>
      </c>
      <c r="C103" s="4" t="s">
        <v>29</v>
      </c>
      <c r="D103" s="4">
        <v>2024</v>
      </c>
      <c r="E103" s="3" t="s">
        <v>36</v>
      </c>
      <c r="F103" s="3" t="s">
        <v>23</v>
      </c>
      <c r="G103" s="3" t="s">
        <v>24</v>
      </c>
      <c r="H103" s="3" t="s">
        <v>25</v>
      </c>
      <c r="I103" s="5">
        <v>21499.14</v>
      </c>
      <c r="J103" s="5">
        <v>10958.17</v>
      </c>
      <c r="K103" s="5">
        <v>2504.41</v>
      </c>
      <c r="L103" s="5">
        <f t="shared" si="15"/>
        <v>10540.97</v>
      </c>
      <c r="M103" s="5">
        <f t="shared" si="16"/>
        <v>8036.5599999999995</v>
      </c>
      <c r="N103" s="6">
        <f t="shared" si="17"/>
        <v>0.37380844070972141</v>
      </c>
      <c r="O103" s="4">
        <v>86</v>
      </c>
      <c r="P103" s="5">
        <v>23862.63</v>
      </c>
      <c r="Q103" s="5">
        <f t="shared" si="18"/>
        <v>21499.14</v>
      </c>
      <c r="R103" s="7">
        <f t="shared" si="19"/>
        <v>-2363.4900000000016</v>
      </c>
      <c r="S103" s="3" t="s">
        <v>64</v>
      </c>
      <c r="T103" s="3" t="s">
        <v>41</v>
      </c>
    </row>
    <row r="104" spans="1:20" x14ac:dyDescent="0.3">
      <c r="A104" s="14">
        <v>45475</v>
      </c>
      <c r="B104" s="3" t="s">
        <v>42</v>
      </c>
      <c r="C104" s="4" t="s">
        <v>35</v>
      </c>
      <c r="D104" s="4">
        <v>2024</v>
      </c>
      <c r="E104" s="3" t="s">
        <v>52</v>
      </c>
      <c r="F104" s="3" t="s">
        <v>46</v>
      </c>
      <c r="G104" s="3" t="s">
        <v>24</v>
      </c>
      <c r="H104" s="3" t="s">
        <v>56</v>
      </c>
      <c r="I104" s="5">
        <v>14216.87</v>
      </c>
      <c r="J104" s="5">
        <v>5336.33</v>
      </c>
      <c r="K104" s="5">
        <v>2319.4</v>
      </c>
      <c r="L104" s="5">
        <f t="shared" si="15"/>
        <v>8880.5400000000009</v>
      </c>
      <c r="M104" s="5">
        <f t="shared" si="16"/>
        <v>6561.1400000000012</v>
      </c>
      <c r="N104" s="6">
        <f t="shared" si="17"/>
        <v>0.46150383312219923</v>
      </c>
      <c r="O104" s="4">
        <v>109</v>
      </c>
      <c r="P104" s="5">
        <v>12569.06</v>
      </c>
      <c r="Q104" s="5">
        <f t="shared" si="18"/>
        <v>14216.87</v>
      </c>
      <c r="R104" s="7">
        <f t="shared" si="19"/>
        <v>1647.8100000000013</v>
      </c>
      <c r="S104" s="3" t="s">
        <v>40</v>
      </c>
      <c r="T104" s="3" t="s">
        <v>27</v>
      </c>
    </row>
    <row r="105" spans="1:20" x14ac:dyDescent="0.3">
      <c r="A105" s="14">
        <v>45521</v>
      </c>
      <c r="B105" s="3" t="s">
        <v>34</v>
      </c>
      <c r="C105" s="4" t="s">
        <v>35</v>
      </c>
      <c r="D105" s="4">
        <v>2024</v>
      </c>
      <c r="E105" s="3" t="s">
        <v>45</v>
      </c>
      <c r="F105" s="3" t="s">
        <v>46</v>
      </c>
      <c r="G105" s="3" t="s">
        <v>57</v>
      </c>
      <c r="H105" s="3" t="s">
        <v>70</v>
      </c>
      <c r="I105" s="5">
        <v>58776.67</v>
      </c>
      <c r="J105" s="5">
        <v>31685.51</v>
      </c>
      <c r="K105" s="5">
        <v>6259.99</v>
      </c>
      <c r="L105" s="5">
        <f t="shared" si="15"/>
        <v>27091.16</v>
      </c>
      <c r="M105" s="5">
        <f t="shared" si="16"/>
        <v>20831.169999999998</v>
      </c>
      <c r="N105" s="6">
        <f t="shared" si="17"/>
        <v>0.35441221831723368</v>
      </c>
      <c r="O105" s="4">
        <v>251</v>
      </c>
      <c r="P105" s="5">
        <v>63770.81</v>
      </c>
      <c r="Q105" s="5">
        <f t="shared" si="18"/>
        <v>58776.67</v>
      </c>
      <c r="R105" s="7">
        <f t="shared" si="19"/>
        <v>-4994.1399999999994</v>
      </c>
      <c r="S105" s="3" t="s">
        <v>26</v>
      </c>
      <c r="T105" s="3" t="s">
        <v>60</v>
      </c>
    </row>
    <row r="106" spans="1:20" x14ac:dyDescent="0.3">
      <c r="A106" s="14">
        <v>45526</v>
      </c>
      <c r="B106" s="3" t="s">
        <v>34</v>
      </c>
      <c r="C106" s="4" t="s">
        <v>35</v>
      </c>
      <c r="D106" s="4">
        <v>2024</v>
      </c>
      <c r="E106" s="3" t="s">
        <v>22</v>
      </c>
      <c r="F106" s="3" t="s">
        <v>23</v>
      </c>
      <c r="G106" s="3" t="s">
        <v>49</v>
      </c>
      <c r="H106" s="3" t="s">
        <v>54</v>
      </c>
      <c r="I106" s="5">
        <v>74601.100000000006</v>
      </c>
      <c r="J106" s="5">
        <v>33425.300000000003</v>
      </c>
      <c r="K106" s="5">
        <v>17639.810000000001</v>
      </c>
      <c r="L106" s="5">
        <f t="shared" si="15"/>
        <v>41175.800000000003</v>
      </c>
      <c r="M106" s="5">
        <f t="shared" si="16"/>
        <v>23535.99</v>
      </c>
      <c r="N106" s="6">
        <f t="shared" si="17"/>
        <v>0.31549119248911878</v>
      </c>
      <c r="O106" s="4">
        <v>238</v>
      </c>
      <c r="P106" s="5">
        <v>65055.68</v>
      </c>
      <c r="Q106" s="5">
        <f t="shared" si="18"/>
        <v>74601.100000000006</v>
      </c>
      <c r="R106" s="7">
        <f t="shared" si="19"/>
        <v>9545.4200000000055</v>
      </c>
      <c r="S106" s="3" t="s">
        <v>40</v>
      </c>
      <c r="T106" s="3" t="s">
        <v>60</v>
      </c>
    </row>
    <row r="107" spans="1:20" x14ac:dyDescent="0.3">
      <c r="A107" s="14">
        <v>45603</v>
      </c>
      <c r="B107" s="3" t="s">
        <v>20</v>
      </c>
      <c r="C107" s="4" t="s">
        <v>21</v>
      </c>
      <c r="D107" s="4">
        <v>2024</v>
      </c>
      <c r="E107" s="3" t="s">
        <v>52</v>
      </c>
      <c r="F107" s="3" t="s">
        <v>23</v>
      </c>
      <c r="G107" s="3" t="s">
        <v>30</v>
      </c>
      <c r="H107" s="3" t="s">
        <v>76</v>
      </c>
      <c r="I107" s="5">
        <v>98442.21</v>
      </c>
      <c r="J107" s="5">
        <v>45251.06</v>
      </c>
      <c r="K107" s="5">
        <v>14646.02</v>
      </c>
      <c r="L107" s="5">
        <f t="shared" si="15"/>
        <v>53191.150000000009</v>
      </c>
      <c r="M107" s="5">
        <f t="shared" si="16"/>
        <v>38545.130000000005</v>
      </c>
      <c r="N107" s="6">
        <f t="shared" si="17"/>
        <v>0.39155083982775279</v>
      </c>
      <c r="O107" s="4">
        <v>339</v>
      </c>
      <c r="P107" s="5">
        <v>113049.88</v>
      </c>
      <c r="Q107" s="5">
        <f t="shared" si="18"/>
        <v>98442.21</v>
      </c>
      <c r="R107" s="7">
        <f t="shared" si="19"/>
        <v>-14607.669999999998</v>
      </c>
      <c r="S107" s="3" t="s">
        <v>26</v>
      </c>
      <c r="T107" s="3" t="s">
        <v>60</v>
      </c>
    </row>
    <row r="108" spans="1:20" x14ac:dyDescent="0.3">
      <c r="A108" s="14">
        <v>45524</v>
      </c>
      <c r="B108" s="3" t="s">
        <v>34</v>
      </c>
      <c r="C108" s="4" t="s">
        <v>35</v>
      </c>
      <c r="D108" s="4">
        <v>2024</v>
      </c>
      <c r="E108" s="3" t="s">
        <v>36</v>
      </c>
      <c r="F108" s="3" t="s">
        <v>46</v>
      </c>
      <c r="G108" s="3" t="s">
        <v>49</v>
      </c>
      <c r="H108" s="3" t="s">
        <v>77</v>
      </c>
      <c r="I108" s="5">
        <v>136435.01999999999</v>
      </c>
      <c r="J108" s="5">
        <v>71022.42</v>
      </c>
      <c r="K108" s="5">
        <v>26964.68</v>
      </c>
      <c r="L108" s="5">
        <f t="shared" si="15"/>
        <v>65412.599999999991</v>
      </c>
      <c r="M108" s="5">
        <f t="shared" si="16"/>
        <v>38447.919999999991</v>
      </c>
      <c r="N108" s="6">
        <f t="shared" si="17"/>
        <v>0.28180389463057209</v>
      </c>
      <c r="O108" s="4">
        <v>426</v>
      </c>
      <c r="P108" s="5">
        <v>147443.79999999999</v>
      </c>
      <c r="Q108" s="5">
        <f t="shared" si="18"/>
        <v>136435.01999999999</v>
      </c>
      <c r="R108" s="7">
        <f t="shared" si="19"/>
        <v>-11008.779999999999</v>
      </c>
      <c r="S108" s="3" t="s">
        <v>64</v>
      </c>
      <c r="T108" s="3" t="s">
        <v>27</v>
      </c>
    </row>
    <row r="109" spans="1:20" x14ac:dyDescent="0.3">
      <c r="A109" s="14">
        <v>45523</v>
      </c>
      <c r="B109" s="3" t="s">
        <v>34</v>
      </c>
      <c r="C109" s="4" t="s">
        <v>35</v>
      </c>
      <c r="D109" s="4">
        <v>2024</v>
      </c>
      <c r="E109" s="3" t="s">
        <v>52</v>
      </c>
      <c r="F109" s="3" t="s">
        <v>55</v>
      </c>
      <c r="G109" s="3" t="s">
        <v>24</v>
      </c>
      <c r="H109" s="3" t="s">
        <v>61</v>
      </c>
      <c r="I109" s="5">
        <v>43895.040000000001</v>
      </c>
      <c r="J109" s="5">
        <v>16198.02</v>
      </c>
      <c r="K109" s="5">
        <v>7199.43</v>
      </c>
      <c r="L109" s="5">
        <f t="shared" si="15"/>
        <v>27697.02</v>
      </c>
      <c r="M109" s="5">
        <f t="shared" si="16"/>
        <v>20497.59</v>
      </c>
      <c r="N109" s="6">
        <f t="shared" si="17"/>
        <v>0.4669682497156854</v>
      </c>
      <c r="O109" s="4">
        <v>224</v>
      </c>
      <c r="P109" s="5">
        <v>46069.26</v>
      </c>
      <c r="Q109" s="5">
        <f t="shared" si="18"/>
        <v>43895.040000000001</v>
      </c>
      <c r="R109" s="7">
        <f t="shared" si="19"/>
        <v>-2174.2200000000012</v>
      </c>
      <c r="S109" s="3" t="s">
        <v>73</v>
      </c>
      <c r="T109" s="3" t="s">
        <v>33</v>
      </c>
    </row>
    <row r="110" spans="1:20" x14ac:dyDescent="0.3">
      <c r="A110" s="14">
        <v>45643</v>
      </c>
      <c r="B110" s="3" t="s">
        <v>81</v>
      </c>
      <c r="C110" s="4" t="s">
        <v>21</v>
      </c>
      <c r="D110" s="4">
        <v>2024</v>
      </c>
      <c r="E110" s="3" t="s">
        <v>48</v>
      </c>
      <c r="F110" s="3" t="s">
        <v>23</v>
      </c>
      <c r="G110" s="3" t="s">
        <v>38</v>
      </c>
      <c r="H110" s="3" t="s">
        <v>63</v>
      </c>
      <c r="I110" s="5">
        <v>13592.29</v>
      </c>
      <c r="J110" s="5">
        <v>6781.44</v>
      </c>
      <c r="K110" s="5">
        <v>2119</v>
      </c>
      <c r="L110" s="5">
        <f t="shared" si="15"/>
        <v>6810.8500000000013</v>
      </c>
      <c r="M110" s="5">
        <f t="shared" si="16"/>
        <v>4691.8500000000013</v>
      </c>
      <c r="N110" s="6">
        <f t="shared" si="17"/>
        <v>0.34518465983289065</v>
      </c>
      <c r="O110" s="4">
        <v>67</v>
      </c>
      <c r="P110" s="5">
        <v>12084.02</v>
      </c>
      <c r="Q110" s="5">
        <f t="shared" si="18"/>
        <v>13592.29</v>
      </c>
      <c r="R110" s="7">
        <f t="shared" si="19"/>
        <v>1508.2700000000004</v>
      </c>
      <c r="S110" s="3" t="s">
        <v>40</v>
      </c>
      <c r="T110" s="3" t="s">
        <v>60</v>
      </c>
    </row>
    <row r="111" spans="1:20" x14ac:dyDescent="0.3">
      <c r="A111" s="14">
        <v>45635</v>
      </c>
      <c r="B111" s="3" t="s">
        <v>81</v>
      </c>
      <c r="C111" s="4" t="s">
        <v>21</v>
      </c>
      <c r="D111" s="4">
        <v>2024</v>
      </c>
      <c r="E111" s="3" t="s">
        <v>22</v>
      </c>
      <c r="F111" s="3" t="s">
        <v>55</v>
      </c>
      <c r="G111" s="3" t="s">
        <v>24</v>
      </c>
      <c r="H111" s="3" t="s">
        <v>61</v>
      </c>
      <c r="I111" s="5">
        <v>191812.96</v>
      </c>
      <c r="J111" s="5">
        <v>69108.14</v>
      </c>
      <c r="K111" s="5">
        <v>27456.95</v>
      </c>
      <c r="L111" s="5">
        <f t="shared" si="15"/>
        <v>122704.81999999999</v>
      </c>
      <c r="M111" s="5">
        <f t="shared" si="16"/>
        <v>95247.87</v>
      </c>
      <c r="N111" s="6">
        <f t="shared" si="17"/>
        <v>0.4965663946794836</v>
      </c>
      <c r="O111" s="4">
        <v>464</v>
      </c>
      <c r="P111" s="5">
        <v>181020.54</v>
      </c>
      <c r="Q111" s="5">
        <f t="shared" si="18"/>
        <v>191812.96</v>
      </c>
      <c r="R111" s="7">
        <f t="shared" si="19"/>
        <v>10792.419999999984</v>
      </c>
      <c r="S111" s="3" t="s">
        <v>40</v>
      </c>
      <c r="T111" s="3" t="s">
        <v>33</v>
      </c>
    </row>
    <row r="112" spans="1:20" x14ac:dyDescent="0.3">
      <c r="A112" s="14">
        <v>45371</v>
      </c>
      <c r="B112" s="3" t="s">
        <v>71</v>
      </c>
      <c r="C112" s="4" t="s">
        <v>29</v>
      </c>
      <c r="D112" s="4">
        <v>2024</v>
      </c>
      <c r="E112" s="3" t="s">
        <v>48</v>
      </c>
      <c r="F112" s="3" t="s">
        <v>53</v>
      </c>
      <c r="G112" s="3" t="s">
        <v>38</v>
      </c>
      <c r="H112" s="3" t="s">
        <v>80</v>
      </c>
      <c r="I112" s="5">
        <v>116154.96</v>
      </c>
      <c r="J112" s="5">
        <v>43323.14</v>
      </c>
      <c r="K112" s="5">
        <v>16469.060000000001</v>
      </c>
      <c r="L112" s="5">
        <f t="shared" si="15"/>
        <v>72831.820000000007</v>
      </c>
      <c r="M112" s="5">
        <f t="shared" si="16"/>
        <v>56362.760000000009</v>
      </c>
      <c r="N112" s="6">
        <f t="shared" si="17"/>
        <v>0.48523765149589831</v>
      </c>
      <c r="O112" s="4">
        <v>452</v>
      </c>
      <c r="P112" s="5">
        <v>106612.57</v>
      </c>
      <c r="Q112" s="5">
        <f t="shared" si="18"/>
        <v>116154.96</v>
      </c>
      <c r="R112" s="7">
        <f t="shared" si="19"/>
        <v>9542.39</v>
      </c>
      <c r="S112" s="3" t="s">
        <v>32</v>
      </c>
      <c r="T112" s="3" t="s">
        <v>41</v>
      </c>
    </row>
    <row r="113" spans="1:20" x14ac:dyDescent="0.3">
      <c r="A113" s="14">
        <v>45603</v>
      </c>
      <c r="B113" s="3" t="s">
        <v>20</v>
      </c>
      <c r="C113" s="4" t="s">
        <v>21</v>
      </c>
      <c r="D113" s="4">
        <v>2024</v>
      </c>
      <c r="E113" s="3" t="s">
        <v>45</v>
      </c>
      <c r="F113" s="3" t="s">
        <v>23</v>
      </c>
      <c r="G113" s="3" t="s">
        <v>30</v>
      </c>
      <c r="H113" s="3" t="s">
        <v>76</v>
      </c>
      <c r="I113" s="5">
        <v>131380.35</v>
      </c>
      <c r="J113" s="5">
        <v>70197.509999999995</v>
      </c>
      <c r="K113" s="5">
        <v>20055.669999999998</v>
      </c>
      <c r="L113" s="5">
        <f t="shared" si="15"/>
        <v>61182.840000000011</v>
      </c>
      <c r="M113" s="5">
        <f t="shared" si="16"/>
        <v>41127.170000000013</v>
      </c>
      <c r="N113" s="6">
        <f t="shared" si="17"/>
        <v>0.31303897424538762</v>
      </c>
      <c r="O113" s="4">
        <v>379</v>
      </c>
      <c r="P113" s="5">
        <v>118823.24</v>
      </c>
      <c r="Q113" s="5">
        <f t="shared" si="18"/>
        <v>131380.35</v>
      </c>
      <c r="R113" s="7">
        <f t="shared" si="19"/>
        <v>12557.11</v>
      </c>
      <c r="S113" s="3" t="s">
        <v>64</v>
      </c>
      <c r="T113" s="3" t="s">
        <v>27</v>
      </c>
    </row>
    <row r="114" spans="1:20" x14ac:dyDescent="0.3">
      <c r="A114" s="14">
        <v>45327</v>
      </c>
      <c r="B114" s="3" t="s">
        <v>47</v>
      </c>
      <c r="C114" s="4" t="s">
        <v>29</v>
      </c>
      <c r="D114" s="4">
        <v>2024</v>
      </c>
      <c r="E114" s="3" t="s">
        <v>52</v>
      </c>
      <c r="F114" s="3" t="s">
        <v>23</v>
      </c>
      <c r="G114" s="3" t="s">
        <v>38</v>
      </c>
      <c r="H114" s="3" t="s">
        <v>84</v>
      </c>
      <c r="I114" s="5">
        <v>23223.200000000001</v>
      </c>
      <c r="J114" s="5">
        <v>10235.14</v>
      </c>
      <c r="K114" s="5">
        <v>2870.65</v>
      </c>
      <c r="L114" s="5">
        <f t="shared" si="15"/>
        <v>12988.060000000001</v>
      </c>
      <c r="M114" s="5">
        <f t="shared" si="16"/>
        <v>10117.410000000002</v>
      </c>
      <c r="N114" s="6">
        <f t="shared" si="17"/>
        <v>0.43565959902166806</v>
      </c>
      <c r="O114" s="4">
        <v>130</v>
      </c>
      <c r="P114" s="5">
        <v>21910.89</v>
      </c>
      <c r="Q114" s="5">
        <f t="shared" si="18"/>
        <v>23223.200000000001</v>
      </c>
      <c r="R114" s="7">
        <f t="shared" si="19"/>
        <v>1312.3100000000013</v>
      </c>
      <c r="S114" s="3" t="s">
        <v>73</v>
      </c>
      <c r="T114" s="3" t="s">
        <v>41</v>
      </c>
    </row>
    <row r="115" spans="1:20" x14ac:dyDescent="0.3">
      <c r="A115" s="14">
        <v>45318</v>
      </c>
      <c r="B115" s="3" t="s">
        <v>28</v>
      </c>
      <c r="C115" s="4" t="s">
        <v>29</v>
      </c>
      <c r="D115" s="4">
        <v>2024</v>
      </c>
      <c r="E115" s="3" t="s">
        <v>52</v>
      </c>
      <c r="F115" s="3" t="s">
        <v>53</v>
      </c>
      <c r="G115" s="3" t="s">
        <v>57</v>
      </c>
      <c r="H115" s="3" t="s">
        <v>70</v>
      </c>
      <c r="I115" s="5">
        <v>18428.849999999999</v>
      </c>
      <c r="J115" s="5">
        <v>8083.31</v>
      </c>
      <c r="K115" s="5">
        <v>3015</v>
      </c>
      <c r="L115" s="5">
        <f t="shared" si="15"/>
        <v>10345.539999999997</v>
      </c>
      <c r="M115" s="5">
        <f t="shared" si="16"/>
        <v>7330.5399999999972</v>
      </c>
      <c r="N115" s="6">
        <f t="shared" si="17"/>
        <v>0.39777522742873256</v>
      </c>
      <c r="O115" s="4">
        <v>365</v>
      </c>
      <c r="P115" s="5">
        <v>19020.84</v>
      </c>
      <c r="Q115" s="5">
        <f t="shared" si="18"/>
        <v>18428.849999999999</v>
      </c>
      <c r="R115" s="7">
        <f t="shared" si="19"/>
        <v>-591.9900000000016</v>
      </c>
      <c r="S115" s="3" t="s">
        <v>32</v>
      </c>
      <c r="T115" s="3" t="s">
        <v>60</v>
      </c>
    </row>
    <row r="116" spans="1:20" x14ac:dyDescent="0.3">
      <c r="A116" s="14">
        <v>45402</v>
      </c>
      <c r="B116" s="3" t="s">
        <v>66</v>
      </c>
      <c r="C116" s="4" t="s">
        <v>67</v>
      </c>
      <c r="D116" s="4">
        <v>2024</v>
      </c>
      <c r="E116" s="3" t="s">
        <v>36</v>
      </c>
      <c r="F116" s="3" t="s">
        <v>23</v>
      </c>
      <c r="G116" s="3" t="s">
        <v>24</v>
      </c>
      <c r="H116" s="3" t="s">
        <v>61</v>
      </c>
      <c r="I116" s="5">
        <v>10503.96</v>
      </c>
      <c r="J116" s="5">
        <v>5101.74</v>
      </c>
      <c r="K116" s="5">
        <v>1817.13</v>
      </c>
      <c r="L116" s="5">
        <f t="shared" si="15"/>
        <v>5402.2199999999993</v>
      </c>
      <c r="M116" s="5">
        <f t="shared" si="16"/>
        <v>3585.0899999999992</v>
      </c>
      <c r="N116" s="6">
        <f t="shared" si="17"/>
        <v>0.34130842082414625</v>
      </c>
      <c r="O116" s="4">
        <v>76</v>
      </c>
      <c r="P116" s="5">
        <v>11030.63</v>
      </c>
      <c r="Q116" s="5">
        <f t="shared" si="18"/>
        <v>10503.96</v>
      </c>
      <c r="R116" s="7">
        <f t="shared" si="19"/>
        <v>-526.67000000000007</v>
      </c>
      <c r="S116" s="3" t="s">
        <v>40</v>
      </c>
      <c r="T116" s="3" t="s">
        <v>33</v>
      </c>
    </row>
    <row r="117" spans="1:20" x14ac:dyDescent="0.3">
      <c r="A117" s="14">
        <v>45494</v>
      </c>
      <c r="B117" s="3" t="s">
        <v>42</v>
      </c>
      <c r="C117" s="4" t="s">
        <v>35</v>
      </c>
      <c r="D117" s="4">
        <v>2024</v>
      </c>
      <c r="E117" s="3" t="s">
        <v>36</v>
      </c>
      <c r="F117" s="3" t="s">
        <v>23</v>
      </c>
      <c r="G117" s="3" t="s">
        <v>38</v>
      </c>
      <c r="H117" s="3" t="s">
        <v>39</v>
      </c>
      <c r="I117" s="5">
        <v>74162.28</v>
      </c>
      <c r="J117" s="5">
        <v>37338.480000000003</v>
      </c>
      <c r="K117" s="5">
        <v>15917.02</v>
      </c>
      <c r="L117" s="5">
        <f t="shared" si="15"/>
        <v>36823.799999999996</v>
      </c>
      <c r="M117" s="5">
        <f t="shared" si="16"/>
        <v>20906.779999999995</v>
      </c>
      <c r="N117" s="6">
        <f t="shared" si="17"/>
        <v>0.28190584216127113</v>
      </c>
      <c r="O117" s="4">
        <v>174</v>
      </c>
      <c r="P117" s="5">
        <v>69477.759999999995</v>
      </c>
      <c r="Q117" s="5">
        <f t="shared" si="18"/>
        <v>74162.28</v>
      </c>
      <c r="R117" s="7">
        <f t="shared" si="19"/>
        <v>4684.5200000000041</v>
      </c>
      <c r="S117" s="3" t="s">
        <v>40</v>
      </c>
      <c r="T117" s="3" t="s">
        <v>41</v>
      </c>
    </row>
    <row r="118" spans="1:20" x14ac:dyDescent="0.3">
      <c r="A118" s="14">
        <v>45546</v>
      </c>
      <c r="B118" s="3" t="s">
        <v>51</v>
      </c>
      <c r="C118" s="4" t="s">
        <v>35</v>
      </c>
      <c r="D118" s="4">
        <v>2024</v>
      </c>
      <c r="E118" s="3" t="s">
        <v>48</v>
      </c>
      <c r="F118" s="3" t="s">
        <v>53</v>
      </c>
      <c r="G118" s="3" t="s">
        <v>30</v>
      </c>
      <c r="H118" s="3" t="s">
        <v>83</v>
      </c>
      <c r="I118" s="5">
        <v>93761.2</v>
      </c>
      <c r="J118" s="5">
        <v>42197.46</v>
      </c>
      <c r="K118" s="5">
        <v>21096.560000000001</v>
      </c>
      <c r="L118" s="5">
        <f t="shared" si="15"/>
        <v>51563.74</v>
      </c>
      <c r="M118" s="5">
        <f t="shared" si="16"/>
        <v>30467.179999999997</v>
      </c>
      <c r="N118" s="6">
        <f t="shared" si="17"/>
        <v>0.32494443330503447</v>
      </c>
      <c r="O118" s="4">
        <v>292</v>
      </c>
      <c r="P118" s="5">
        <v>102374.11</v>
      </c>
      <c r="Q118" s="5">
        <f t="shared" si="18"/>
        <v>93761.2</v>
      </c>
      <c r="R118" s="7">
        <f t="shared" si="19"/>
        <v>-8612.9100000000035</v>
      </c>
      <c r="S118" s="3" t="s">
        <v>40</v>
      </c>
      <c r="T118" s="3" t="s">
        <v>27</v>
      </c>
    </row>
    <row r="119" spans="1:20" x14ac:dyDescent="0.3">
      <c r="A119" s="14">
        <v>45313</v>
      </c>
      <c r="B119" s="3" t="s">
        <v>28</v>
      </c>
      <c r="C119" s="4" t="s">
        <v>29</v>
      </c>
      <c r="D119" s="4">
        <v>2024</v>
      </c>
      <c r="E119" s="3" t="s">
        <v>48</v>
      </c>
      <c r="F119" s="3" t="s">
        <v>23</v>
      </c>
      <c r="G119" s="3" t="s">
        <v>49</v>
      </c>
      <c r="H119" s="3" t="s">
        <v>77</v>
      </c>
      <c r="I119" s="5">
        <v>69693.98</v>
      </c>
      <c r="J119" s="5">
        <v>30376.6</v>
      </c>
      <c r="K119" s="5">
        <v>11197.27</v>
      </c>
      <c r="L119" s="5">
        <f t="shared" si="15"/>
        <v>39317.379999999997</v>
      </c>
      <c r="M119" s="5">
        <f t="shared" si="16"/>
        <v>28120.109999999997</v>
      </c>
      <c r="N119" s="6">
        <f t="shared" si="17"/>
        <v>0.4034797553533318</v>
      </c>
      <c r="O119" s="4">
        <v>461</v>
      </c>
      <c r="P119" s="5">
        <v>72624.09</v>
      </c>
      <c r="Q119" s="5">
        <f t="shared" si="18"/>
        <v>69693.98</v>
      </c>
      <c r="R119" s="7">
        <f t="shared" si="19"/>
        <v>-2930.1100000000006</v>
      </c>
      <c r="S119" s="3" t="s">
        <v>73</v>
      </c>
      <c r="T119" s="3" t="s">
        <v>41</v>
      </c>
    </row>
    <row r="120" spans="1:20" x14ac:dyDescent="0.3">
      <c r="A120" s="14">
        <v>45499</v>
      </c>
      <c r="B120" s="3" t="s">
        <v>42</v>
      </c>
      <c r="C120" s="4" t="s">
        <v>35</v>
      </c>
      <c r="D120" s="4">
        <v>2024</v>
      </c>
      <c r="E120" s="3" t="s">
        <v>22</v>
      </c>
      <c r="F120" s="3" t="s">
        <v>37</v>
      </c>
      <c r="G120" s="3" t="s">
        <v>30</v>
      </c>
      <c r="H120" s="3" t="s">
        <v>79</v>
      </c>
      <c r="I120" s="5">
        <v>96117.15</v>
      </c>
      <c r="J120" s="5">
        <v>51322.13</v>
      </c>
      <c r="K120" s="5">
        <v>10882.33</v>
      </c>
      <c r="L120" s="5">
        <f t="shared" si="15"/>
        <v>44795.02</v>
      </c>
      <c r="M120" s="5">
        <f t="shared" si="16"/>
        <v>33912.689999999995</v>
      </c>
      <c r="N120" s="6">
        <f t="shared" si="17"/>
        <v>0.35282662875459786</v>
      </c>
      <c r="O120" s="4">
        <v>255</v>
      </c>
      <c r="P120" s="5">
        <v>106050.41</v>
      </c>
      <c r="Q120" s="5">
        <f t="shared" si="18"/>
        <v>96117.15</v>
      </c>
      <c r="R120" s="7">
        <f t="shared" si="19"/>
        <v>-9933.2600000000093</v>
      </c>
      <c r="S120" s="3" t="s">
        <v>64</v>
      </c>
      <c r="T120" s="3" t="s">
        <v>27</v>
      </c>
    </row>
    <row r="121" spans="1:20" x14ac:dyDescent="0.3">
      <c r="A121" s="14">
        <v>45593</v>
      </c>
      <c r="B121" s="3" t="s">
        <v>44</v>
      </c>
      <c r="C121" s="4" t="s">
        <v>21</v>
      </c>
      <c r="D121" s="4">
        <v>2024</v>
      </c>
      <c r="E121" s="3" t="s">
        <v>48</v>
      </c>
      <c r="F121" s="3" t="s">
        <v>46</v>
      </c>
      <c r="G121" s="3" t="s">
        <v>38</v>
      </c>
      <c r="H121" s="3" t="s">
        <v>69</v>
      </c>
      <c r="I121" s="5">
        <v>69736.05</v>
      </c>
      <c r="J121" s="5">
        <v>29142.880000000001</v>
      </c>
      <c r="K121" s="5">
        <v>10457.64</v>
      </c>
      <c r="L121" s="5">
        <f t="shared" si="15"/>
        <v>40593.17</v>
      </c>
      <c r="M121" s="5">
        <f t="shared" si="16"/>
        <v>30135.53</v>
      </c>
      <c r="N121" s="6">
        <f t="shared" si="17"/>
        <v>0.43213703672634163</v>
      </c>
      <c r="O121" s="4">
        <v>465</v>
      </c>
      <c r="P121" s="5">
        <v>62793.120000000003</v>
      </c>
      <c r="Q121" s="5">
        <f t="shared" si="18"/>
        <v>69736.05</v>
      </c>
      <c r="R121" s="7">
        <f t="shared" si="19"/>
        <v>6942.93</v>
      </c>
      <c r="S121" s="3" t="s">
        <v>26</v>
      </c>
      <c r="T121" s="3" t="s">
        <v>41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/>
  </sheetViews>
  <sheetFormatPr defaultColWidth="8.6640625" defaultRowHeight="14.4" x14ac:dyDescent="0.3"/>
  <cols>
    <col min="1" max="1" width="32" customWidth="1"/>
    <col min="2" max="2" width="20" customWidth="1"/>
  </cols>
  <sheetData>
    <row r="1" spans="1:3" ht="17.399999999999999" x14ac:dyDescent="0.3">
      <c r="A1" s="1" t="s">
        <v>85</v>
      </c>
      <c r="B1" s="1"/>
      <c r="C1" s="1"/>
    </row>
    <row r="3" spans="1:3" x14ac:dyDescent="0.3">
      <c r="A3" s="8" t="s">
        <v>86</v>
      </c>
      <c r="B3" s="8" t="s">
        <v>87</v>
      </c>
    </row>
    <row r="4" spans="1:3" x14ac:dyDescent="0.3">
      <c r="A4" s="9" t="s">
        <v>88</v>
      </c>
      <c r="B4" s="10">
        <f>SUM(Financial_KPI_Data!I2:I121)</f>
        <v>6959601.7699999986</v>
      </c>
    </row>
    <row r="5" spans="1:3" x14ac:dyDescent="0.3">
      <c r="A5" s="9" t="s">
        <v>89</v>
      </c>
      <c r="B5" s="10">
        <f>SUM(Financial_KPI_Data!J2:J121)</f>
        <v>3149977.6800000006</v>
      </c>
    </row>
    <row r="6" spans="1:3" x14ac:dyDescent="0.3">
      <c r="A6" s="9" t="s">
        <v>90</v>
      </c>
      <c r="B6" s="10">
        <f>SUM(Financial_KPI_Data!K2:K121)</f>
        <v>1204215.7800000003</v>
      </c>
    </row>
    <row r="7" spans="1:3" x14ac:dyDescent="0.3">
      <c r="A7" s="9" t="s">
        <v>91</v>
      </c>
      <c r="B7" s="10">
        <f>SUM(Financial_KPI_Data!L2:L121)</f>
        <v>3809624.09</v>
      </c>
    </row>
    <row r="8" spans="1:3" x14ac:dyDescent="0.3">
      <c r="A8" s="9" t="s">
        <v>92</v>
      </c>
      <c r="B8" s="10">
        <f>SUM(Financial_KPI_Data!M2:M121)</f>
        <v>2605408.31</v>
      </c>
    </row>
    <row r="9" spans="1:3" x14ac:dyDescent="0.3">
      <c r="A9" s="9" t="s">
        <v>93</v>
      </c>
      <c r="B9" s="11">
        <f>IFERROR(B8/B4,0)</f>
        <v>0.37436169426113597</v>
      </c>
    </row>
    <row r="10" spans="1:3" x14ac:dyDescent="0.3">
      <c r="A10" s="9" t="s">
        <v>94</v>
      </c>
      <c r="B10" s="10">
        <f>SUM(Financial_KPI_Data!P2:P121)</f>
        <v>7078105.2099999981</v>
      </c>
    </row>
    <row r="11" spans="1:3" x14ac:dyDescent="0.3">
      <c r="A11" s="9" t="s">
        <v>95</v>
      </c>
      <c r="B11" s="10">
        <f>SUM(Financial_KPI_Data!Q2:Q121)</f>
        <v>6959601.7699999986</v>
      </c>
    </row>
    <row r="12" spans="1:3" x14ac:dyDescent="0.3">
      <c r="A12" s="9" t="s">
        <v>96</v>
      </c>
      <c r="B12" s="10">
        <f>SUM(Financial_KPI_Data!R2:R121)</f>
        <v>-118503.44000000003</v>
      </c>
    </row>
    <row r="13" spans="1:3" x14ac:dyDescent="0.3">
      <c r="A13" s="9" t="s">
        <v>97</v>
      </c>
      <c r="B13" s="12">
        <f>SUM(Financial_KPI_Data!O2:O121)</f>
        <v>28331</v>
      </c>
    </row>
    <row r="14" spans="1:3" x14ac:dyDescent="0.3">
      <c r="A14" s="9" t="s">
        <v>98</v>
      </c>
      <c r="B14" s="10">
        <f>IFERROR(B4/B15,0)</f>
        <v>57996.681416666652</v>
      </c>
    </row>
    <row r="15" spans="1:3" x14ac:dyDescent="0.3">
      <c r="A15" s="9" t="s">
        <v>99</v>
      </c>
      <c r="B15" s="12">
        <f>COUNTA(Financial_KPI_Data!A2:A121)</f>
        <v>120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Financial_KPI_Data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Sachin Sakhare</cp:lastModifiedBy>
  <cp:revision>0</cp:revision>
  <dcterms:created xsi:type="dcterms:W3CDTF">2026-08-24T09:07:03Z</dcterms:created>
  <dcterms:modified xsi:type="dcterms:W3CDTF">2026-08-24T14:21:48Z</dcterms:modified>
  <dc:language>en-US</dc:language>
</cp:coreProperties>
</file>